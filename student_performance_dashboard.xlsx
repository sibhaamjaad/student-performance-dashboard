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FAST-NUCES\2nd Sem\Github Projects\"/>
    </mc:Choice>
  </mc:AlternateContent>
  <bookViews>
    <workbookView xWindow="0" yWindow="0" windowWidth="23040" windowHeight="9072" activeTab="1"/>
  </bookViews>
  <sheets>
    <sheet name="Student_data" sheetId="1" r:id="rId1"/>
    <sheet name="dashboard" sheetId="2" r:id="rId2"/>
  </sheets>
  <definedNames>
    <definedName name="Slicer_Department">#N/A</definedName>
    <definedName name="Slicer_Gender">#N/A</definedName>
    <definedName name="Slicer_Semester">#N/A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5:slicerCaches>
    </ext>
  </extLst>
</workbook>
</file>

<file path=xl/calcChain.xml><?xml version="1.0" encoding="utf-8"?>
<calcChain xmlns="http://schemas.openxmlformats.org/spreadsheetml/2006/main">
  <c r="M12" i="2" l="1"/>
  <c r="M11" i="2"/>
  <c r="M10" i="2"/>
  <c r="M9" i="2"/>
  <c r="M8" i="2"/>
  <c r="M7" i="2"/>
  <c r="M6" i="2"/>
  <c r="M5" i="2"/>
  <c r="J6" i="2"/>
  <c r="J5" i="2"/>
  <c r="G9" i="2"/>
  <c r="G8" i="2"/>
  <c r="G7" i="2"/>
  <c r="G6" i="2"/>
  <c r="G5" i="2"/>
  <c r="B7" i="2"/>
  <c r="B6" i="2"/>
  <c r="B5" i="2"/>
  <c r="B4" i="2"/>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3" i="1"/>
  <c r="H4" i="1"/>
  <c r="H5" i="1"/>
  <c r="H2" i="1"/>
</calcChain>
</file>

<file path=xl/sharedStrings.xml><?xml version="1.0" encoding="utf-8"?>
<sst xmlns="http://schemas.openxmlformats.org/spreadsheetml/2006/main" count="626" uniqueCount="151">
  <si>
    <t>Student ID</t>
  </si>
  <si>
    <t>Student Name</t>
  </si>
  <si>
    <t>Department</t>
  </si>
  <si>
    <t>Semester</t>
  </si>
  <si>
    <t>Marks</t>
  </si>
  <si>
    <t>Attendance %</t>
  </si>
  <si>
    <t>Gender</t>
  </si>
  <si>
    <t>Noor Farooq</t>
  </si>
  <si>
    <t>CS</t>
  </si>
  <si>
    <t>Female</t>
  </si>
  <si>
    <t>Ahmed Qureshi</t>
  </si>
  <si>
    <t>DS</t>
  </si>
  <si>
    <t>Male</t>
  </si>
  <si>
    <t>Zoya Raza</t>
  </si>
  <si>
    <t>IT</t>
  </si>
  <si>
    <t>Omar Farooq</t>
  </si>
  <si>
    <t>Taha Butt</t>
  </si>
  <si>
    <t>SE</t>
  </si>
  <si>
    <t>Mahnoor Siddiqui</t>
  </si>
  <si>
    <t>Ali Raza</t>
  </si>
  <si>
    <t>Ayesha Ali</t>
  </si>
  <si>
    <t>AI</t>
  </si>
  <si>
    <t>Mariam Ali</t>
  </si>
  <si>
    <t>Saad Sheikh</t>
  </si>
  <si>
    <t>Zain Qureshi</t>
  </si>
  <si>
    <t>Ali Siddiqui</t>
  </si>
  <si>
    <t>Zain Farooq</t>
  </si>
  <si>
    <t>Mariam Khan</t>
  </si>
  <si>
    <t>Taha Khan</t>
  </si>
  <si>
    <t>Sara Qureshi</t>
  </si>
  <si>
    <t>Usman Qureshi</t>
  </si>
  <si>
    <t>Mahnoor Sheikh</t>
  </si>
  <si>
    <t>Ahmed Khan</t>
  </si>
  <si>
    <t>Noor Butt</t>
  </si>
  <si>
    <t>Zain Siddiqui</t>
  </si>
  <si>
    <t>Ayesha Farooq</t>
  </si>
  <si>
    <t>Hamza Malik</t>
  </si>
  <si>
    <t>Ali Ahmed</t>
  </si>
  <si>
    <t>Mahnoor Khan</t>
  </si>
  <si>
    <t>Omar Ahmed</t>
  </si>
  <si>
    <t>Usman Ahmed</t>
  </si>
  <si>
    <t>Sara Siddiqui</t>
  </si>
  <si>
    <t>Bilal Khan</t>
  </si>
  <si>
    <t>Zoya Ali</t>
  </si>
  <si>
    <t>Sara Ahmed</t>
  </si>
  <si>
    <t>Omar Khan</t>
  </si>
  <si>
    <t>Hassan Raza</t>
  </si>
  <si>
    <t>Omar Raza</t>
  </si>
  <si>
    <t>Ahmed Sheikh</t>
  </si>
  <si>
    <t>Usman Farooq</t>
  </si>
  <si>
    <t>Hamza Ali</t>
  </si>
  <si>
    <t>Hina Raza</t>
  </si>
  <si>
    <t>Saad Malik</t>
  </si>
  <si>
    <t>Hamza Sheikh</t>
  </si>
  <si>
    <t>Mahnoor Ahmed</t>
  </si>
  <si>
    <t>Ahmed Malik</t>
  </si>
  <si>
    <t>Zoya Siddiqui</t>
  </si>
  <si>
    <t>Taha Sheikh</t>
  </si>
  <si>
    <t>Sara Khan</t>
  </si>
  <si>
    <t>Iqra Farooq</t>
  </si>
  <si>
    <t>Hassan Malik</t>
  </si>
  <si>
    <t>Fatima Qureshi</t>
  </si>
  <si>
    <t>Mahnoor Butt</t>
  </si>
  <si>
    <t>Saad Raza</t>
  </si>
  <si>
    <t>Noor Malik</t>
  </si>
  <si>
    <t>Zain Raza</t>
  </si>
  <si>
    <t>Zoya Farooq</t>
  </si>
  <si>
    <t>Ayesha Butt</t>
  </si>
  <si>
    <t>Hassan Farooq</t>
  </si>
  <si>
    <t>Ali Qureshi</t>
  </si>
  <si>
    <t>Zoya Butt</t>
  </si>
  <si>
    <t>Bilal Sheikh</t>
  </si>
  <si>
    <t>Saad Farooq</t>
  </si>
  <si>
    <t>Omar Qureshi</t>
  </si>
  <si>
    <t>Zoya Sheikh</t>
  </si>
  <si>
    <t>Mariam Sheikh</t>
  </si>
  <si>
    <t>Bilal Qureshi</t>
  </si>
  <si>
    <t>Hassan Siddiqui</t>
  </si>
  <si>
    <t>Bilal Ali</t>
  </si>
  <si>
    <t>Taha Ali</t>
  </si>
  <si>
    <t>Saad Siddiqui</t>
  </si>
  <si>
    <t>Omar Malik</t>
  </si>
  <si>
    <t>Hamza Siddiqui</t>
  </si>
  <si>
    <t>Usman Butt</t>
  </si>
  <si>
    <t>Hina Farooq</t>
  </si>
  <si>
    <t>Saad Qureshi</t>
  </si>
  <si>
    <t>Hina Siddiqui</t>
  </si>
  <si>
    <t>Fatima Khan</t>
  </si>
  <si>
    <t>Hina Ahmed</t>
  </si>
  <si>
    <t>Noor Sheikh</t>
  </si>
  <si>
    <t>Mariam Butt</t>
  </si>
  <si>
    <t>Sara Butt</t>
  </si>
  <si>
    <t>Mariam Ahmed</t>
  </si>
  <si>
    <t>Noor Raza</t>
  </si>
  <si>
    <t>Mariam Qureshi</t>
  </si>
  <si>
    <t>Hamza Farooq</t>
  </si>
  <si>
    <t>Iqra Khan</t>
  </si>
  <si>
    <t>Ayesha Raza</t>
  </si>
  <si>
    <t>Hassan Qureshi</t>
  </si>
  <si>
    <t>Bilal Siddiqui</t>
  </si>
  <si>
    <t>Fatima Ahmed</t>
  </si>
  <si>
    <t>Taha Raza</t>
  </si>
  <si>
    <t>Ayesha Sheikh</t>
  </si>
  <si>
    <t>Hina Malik</t>
  </si>
  <si>
    <t>Usman Sheikh</t>
  </si>
  <si>
    <t>Fatima Malik</t>
  </si>
  <si>
    <t>Taha Farooq</t>
  </si>
  <si>
    <t>Noor Ali</t>
  </si>
  <si>
    <t>Iqra Raza</t>
  </si>
  <si>
    <t>Fatima Farooq</t>
  </si>
  <si>
    <t>Hamza Ahmed</t>
  </si>
  <si>
    <t>Anaya Farooq</t>
  </si>
  <si>
    <t>Hina Ali</t>
  </si>
  <si>
    <t>Ahmed Farooq</t>
  </si>
  <si>
    <t>Saad Ahmed</t>
  </si>
  <si>
    <t>Ali Khan</t>
  </si>
  <si>
    <t>Zoya Qureshi</t>
  </si>
  <si>
    <t>Zoya Malik</t>
  </si>
  <si>
    <t>Hina Khan</t>
  </si>
  <si>
    <t>Iqra Butt</t>
  </si>
  <si>
    <t>Hina Qureshi</t>
  </si>
  <si>
    <t>Usman Ali</t>
  </si>
  <si>
    <t>Taha Siddiqui</t>
  </si>
  <si>
    <t>Mahnoor Malik</t>
  </si>
  <si>
    <t>Mariam Farooq</t>
  </si>
  <si>
    <t>Taha Malik</t>
  </si>
  <si>
    <t>Mahnoor Farooq</t>
  </si>
  <si>
    <t>Ayesha Qureshi</t>
  </si>
  <si>
    <t>Omar Siddiqui</t>
  </si>
  <si>
    <t>Hassan Khan</t>
  </si>
  <si>
    <t>Iqra Sheikh</t>
  </si>
  <si>
    <t>Noor Siddiqui</t>
  </si>
  <si>
    <t>Noor Qureshi</t>
  </si>
  <si>
    <t>Fatima Butt</t>
  </si>
  <si>
    <t>Mahnoor Qureshi</t>
  </si>
  <si>
    <t>Fatima Ali</t>
  </si>
  <si>
    <t>Sara Raza</t>
  </si>
  <si>
    <t>Zain Ali</t>
  </si>
  <si>
    <t>Ahmed Raza</t>
  </si>
  <si>
    <t>Usman Malik</t>
  </si>
  <si>
    <t>Bilal Raza</t>
  </si>
  <si>
    <t>Hina Butt</t>
  </si>
  <si>
    <t>Ayesha Ahmed</t>
  </si>
  <si>
    <t>Grade</t>
  </si>
  <si>
    <t>Total Students</t>
  </si>
  <si>
    <t>Avg marks</t>
  </si>
  <si>
    <t>Avg Attendence</t>
  </si>
  <si>
    <t>Avg Marks</t>
  </si>
  <si>
    <t>Pass Rate</t>
  </si>
  <si>
    <t>Count</t>
  </si>
  <si>
    <t>Student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</si>
</sst>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
      <color theme="0"/>
      <name val="Calibri"/>
      <family val="2"/>
      <scheme val="minor"/>
    </font>
    <font>
      <sz val="13"/>
      <color theme="0"/>
      <name val="Calibri"/>
      <family val="2"/>
      <scheme val="minor"/>
    </font>
    <font>
      <b/>
      <sz val="20"/>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0"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0" borderId="0" xfId="0" applyAlignment="1">
      <alignment horizontal="left"/>
    </xf>
    <xf numFmtId="0" fontId="16" fillId="0" borderId="0" xfId="0" applyFont="1"/>
    <xf numFmtId="0" fontId="0" fillId="34" borderId="0" xfId="0" applyFill="1"/>
    <xf numFmtId="0" fontId="18" fillId="33" borderId="10" xfId="0" applyFont="1" applyFill="1" applyBorder="1" applyAlignment="1">
      <alignment horizontal="center" vertical="center"/>
    </xf>
    <xf numFmtId="0" fontId="19" fillId="33" borderId="10" xfId="0" applyFont="1" applyFill="1" applyBorder="1" applyAlignment="1">
      <alignment horizontal="center" vertical="center"/>
    </xf>
    <xf numFmtId="2" fontId="19" fillId="33" borderId="10" xfId="0" applyNumberFormat="1" applyFont="1" applyFill="1" applyBorder="1" applyAlignment="1">
      <alignment horizontal="center" vertical="center"/>
    </xf>
    <xf numFmtId="9" fontId="19" fillId="33" borderId="10" xfId="1" applyFont="1" applyFill="1" applyBorder="1" applyAlignment="1">
      <alignment horizontal="center" vertical="center"/>
    </xf>
    <xf numFmtId="0" fontId="18" fillId="33" borderId="10" xfId="0" applyFont="1" applyFill="1" applyBorder="1"/>
    <xf numFmtId="0" fontId="19" fillId="33" borderId="10" xfId="0" applyFont="1" applyFill="1" applyBorder="1"/>
    <xf numFmtId="2" fontId="19" fillId="33" borderId="10" xfId="0" applyNumberFormat="1" applyFont="1" applyFill="1" applyBorder="1"/>
    <xf numFmtId="0" fontId="20" fillId="33" borderId="0" xfId="0"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
    <dxf>
      <numFmt numFmtId="0" formatCode="General"/>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Average</a:t>
            </a:r>
            <a:r>
              <a:rPr lang="en-US" sz="1200" baseline="0"/>
              <a:t> Marks by Department</a:t>
            </a:r>
          </a:p>
          <a:p>
            <a:pPr>
              <a:defRPr sz="1200"/>
            </a:pPr>
            <a:endParaRPr lang="en-US" sz="1200"/>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078346696608081"/>
          <c:y val="0.22330097087378642"/>
          <c:w val="0.85874730695226165"/>
          <c:h val="0.66482539197163459"/>
        </c:manualLayout>
      </c:layout>
      <c:barChart>
        <c:barDir val="col"/>
        <c:grouping val="clustered"/>
        <c:varyColors val="0"/>
        <c:ser>
          <c:idx val="0"/>
          <c:order val="0"/>
          <c:tx>
            <c:strRef>
              <c:f>dashboard!$G$4</c:f>
              <c:strCache>
                <c:ptCount val="1"/>
                <c:pt idx="0">
                  <c:v>Avg marks</c:v>
                </c:pt>
              </c:strCache>
            </c:strRef>
          </c:tx>
          <c:spPr>
            <a:solidFill>
              <a:schemeClr val="accent6">
                <a:lumMod val="60000"/>
                <a:lumOff val="40000"/>
              </a:schemeClr>
            </a:solidFill>
            <a:ln>
              <a:noFill/>
            </a:ln>
            <a:effectLst/>
          </c:spPr>
          <c:invertIfNegative val="0"/>
          <c:cat>
            <c:strRef>
              <c:f>dashboard!$F$5:$F$9</c:f>
              <c:strCache>
                <c:ptCount val="5"/>
                <c:pt idx="0">
                  <c:v>CS</c:v>
                </c:pt>
                <c:pt idx="1">
                  <c:v>DS</c:v>
                </c:pt>
                <c:pt idx="2">
                  <c:v>IT</c:v>
                </c:pt>
                <c:pt idx="3">
                  <c:v>SE</c:v>
                </c:pt>
                <c:pt idx="4">
                  <c:v>AI</c:v>
                </c:pt>
              </c:strCache>
            </c:strRef>
          </c:cat>
          <c:val>
            <c:numRef>
              <c:f>dashboard!$G$5:$G$9</c:f>
              <c:numCache>
                <c:formatCode>0.00</c:formatCode>
                <c:ptCount val="5"/>
                <c:pt idx="0">
                  <c:v>81.239130434782609</c:v>
                </c:pt>
                <c:pt idx="1">
                  <c:v>76.13636363636364</c:v>
                </c:pt>
                <c:pt idx="2" formatCode="General">
                  <c:v>74.08</c:v>
                </c:pt>
                <c:pt idx="3">
                  <c:v>78.481481481481481</c:v>
                </c:pt>
                <c:pt idx="4">
                  <c:v>78.696969696969703</c:v>
                </c:pt>
              </c:numCache>
            </c:numRef>
          </c:val>
          <c:extLst>
            <c:ext xmlns:c16="http://schemas.microsoft.com/office/drawing/2014/chart" uri="{C3380CC4-5D6E-409C-BE32-E72D297353CC}">
              <c16:uniqueId val="{00000000-36BD-43C9-A11C-06417AF881C9}"/>
            </c:ext>
          </c:extLst>
        </c:ser>
        <c:dLbls>
          <c:showLegendKey val="0"/>
          <c:showVal val="0"/>
          <c:showCatName val="0"/>
          <c:showSerName val="0"/>
          <c:showPercent val="0"/>
          <c:showBubbleSize val="0"/>
        </c:dLbls>
        <c:gapWidth val="219"/>
        <c:overlap val="-27"/>
        <c:axId val="495921343"/>
        <c:axId val="495923007"/>
      </c:barChart>
      <c:catAx>
        <c:axId val="49592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923007"/>
        <c:crosses val="autoZero"/>
        <c:auto val="1"/>
        <c:lblAlgn val="ctr"/>
        <c:lblOffset val="100"/>
        <c:noMultiLvlLbl val="0"/>
      </c:catAx>
      <c:valAx>
        <c:axId val="4959230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9213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Students</a:t>
            </a:r>
            <a:r>
              <a:rPr lang="en-US" sz="1200" baseline="0"/>
              <a:t> by Gender</a:t>
            </a:r>
            <a:endParaRPr lang="en-US" sz="1200"/>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40793482374987"/>
          <c:y val="0.1770098730606488"/>
          <c:w val="0.84425085162227065"/>
          <c:h val="0.72802883066979107"/>
        </c:manualLayout>
      </c:layout>
      <c:barChart>
        <c:barDir val="col"/>
        <c:grouping val="clustered"/>
        <c:varyColors val="0"/>
        <c:ser>
          <c:idx val="0"/>
          <c:order val="0"/>
          <c:tx>
            <c:strRef>
              <c:f>dashboard!$J$4</c:f>
              <c:strCache>
                <c:ptCount val="1"/>
                <c:pt idx="0">
                  <c:v>Count</c:v>
                </c:pt>
              </c:strCache>
            </c:strRef>
          </c:tx>
          <c:spPr>
            <a:solidFill>
              <a:schemeClr val="accent2">
                <a:lumMod val="75000"/>
              </a:schemeClr>
            </a:solidFill>
            <a:ln>
              <a:noFill/>
            </a:ln>
            <a:effectLst/>
          </c:spPr>
          <c:invertIfNegative val="0"/>
          <c:cat>
            <c:strRef>
              <c:f>dashboard!$I$5:$I$6</c:f>
              <c:strCache>
                <c:ptCount val="2"/>
                <c:pt idx="0">
                  <c:v>Male</c:v>
                </c:pt>
                <c:pt idx="1">
                  <c:v>Female</c:v>
                </c:pt>
              </c:strCache>
            </c:strRef>
          </c:cat>
          <c:val>
            <c:numRef>
              <c:f>dashboard!$J$5:$J$6</c:f>
              <c:numCache>
                <c:formatCode>General</c:formatCode>
                <c:ptCount val="2"/>
                <c:pt idx="0">
                  <c:v>107</c:v>
                </c:pt>
                <c:pt idx="1">
                  <c:v>93</c:v>
                </c:pt>
              </c:numCache>
            </c:numRef>
          </c:val>
          <c:extLst>
            <c:ext xmlns:c16="http://schemas.microsoft.com/office/drawing/2014/chart" uri="{C3380CC4-5D6E-409C-BE32-E72D297353CC}">
              <c16:uniqueId val="{00000000-32F5-474C-9C38-DE2DAB3E3AC3}"/>
            </c:ext>
          </c:extLst>
        </c:ser>
        <c:dLbls>
          <c:showLegendKey val="0"/>
          <c:showVal val="0"/>
          <c:showCatName val="0"/>
          <c:showSerName val="0"/>
          <c:showPercent val="0"/>
          <c:showBubbleSize val="0"/>
        </c:dLbls>
        <c:gapWidth val="219"/>
        <c:overlap val="-27"/>
        <c:axId val="586860415"/>
        <c:axId val="586855423"/>
      </c:barChart>
      <c:catAx>
        <c:axId val="58686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855423"/>
        <c:crosses val="autoZero"/>
        <c:auto val="1"/>
        <c:lblAlgn val="ctr"/>
        <c:lblOffset val="100"/>
        <c:noMultiLvlLbl val="0"/>
      </c:catAx>
      <c:valAx>
        <c:axId val="58685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860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Average</a:t>
            </a:r>
            <a:r>
              <a:rPr lang="en-US" sz="1200" baseline="0"/>
              <a:t> Marks by Semester</a:t>
            </a:r>
            <a:endParaRPr lang="en-US" sz="1200"/>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dashboard!$L$4</c:f>
              <c:strCache>
                <c:ptCount val="1"/>
                <c:pt idx="0">
                  <c:v>Semester</c:v>
                </c:pt>
              </c:strCache>
            </c:strRef>
          </c:tx>
          <c:spPr>
            <a:solidFill>
              <a:schemeClr val="accent1"/>
            </a:solidFill>
            <a:ln>
              <a:noFill/>
            </a:ln>
            <a:effectLst/>
          </c:spPr>
          <c:invertIfNegative val="0"/>
          <c:val>
            <c:numRef>
              <c:f>dashboard!$L$5:$L$12</c:f>
              <c:numCache>
                <c:formatCode>General</c:formatCode>
                <c:ptCount val="8"/>
                <c:pt idx="0">
                  <c:v>1</c:v>
                </c:pt>
                <c:pt idx="1">
                  <c:v>2</c:v>
                </c:pt>
                <c:pt idx="2">
                  <c:v>3</c:v>
                </c:pt>
                <c:pt idx="3">
                  <c:v>4</c:v>
                </c:pt>
                <c:pt idx="4">
                  <c:v>5</c:v>
                </c:pt>
                <c:pt idx="5">
                  <c:v>6</c:v>
                </c:pt>
                <c:pt idx="6">
                  <c:v>7</c:v>
                </c:pt>
                <c:pt idx="7">
                  <c:v>8</c:v>
                </c:pt>
              </c:numCache>
            </c:numRef>
          </c:val>
          <c:extLst>
            <c:ext xmlns:c16="http://schemas.microsoft.com/office/drawing/2014/chart" uri="{C3380CC4-5D6E-409C-BE32-E72D297353CC}">
              <c16:uniqueId val="{00000000-DC2B-4055-BCC0-18CAA98916F6}"/>
            </c:ext>
          </c:extLst>
        </c:ser>
        <c:ser>
          <c:idx val="1"/>
          <c:order val="1"/>
          <c:tx>
            <c:strRef>
              <c:f>dashboard!$M$4</c:f>
              <c:strCache>
                <c:ptCount val="1"/>
                <c:pt idx="0">
                  <c:v>Avg Marks</c:v>
                </c:pt>
              </c:strCache>
            </c:strRef>
          </c:tx>
          <c:spPr>
            <a:solidFill>
              <a:schemeClr val="accent1">
                <a:lumMod val="75000"/>
              </a:schemeClr>
            </a:solidFill>
            <a:ln>
              <a:noFill/>
            </a:ln>
            <a:effectLst/>
          </c:spPr>
          <c:invertIfNegative val="0"/>
          <c:val>
            <c:numRef>
              <c:f>dashboard!$M$5:$M$12</c:f>
              <c:numCache>
                <c:formatCode>0.00</c:formatCode>
                <c:ptCount val="8"/>
                <c:pt idx="0">
                  <c:v>78.05263157894737</c:v>
                </c:pt>
                <c:pt idx="1">
                  <c:v>77.263157894736835</c:v>
                </c:pt>
                <c:pt idx="2">
                  <c:v>80.53125</c:v>
                </c:pt>
                <c:pt idx="3">
                  <c:v>76.875</c:v>
                </c:pt>
                <c:pt idx="4">
                  <c:v>77.592592592592595</c:v>
                </c:pt>
                <c:pt idx="5">
                  <c:v>76.714285714285708</c:v>
                </c:pt>
                <c:pt idx="6">
                  <c:v>74.727272727272734</c:v>
                </c:pt>
                <c:pt idx="7">
                  <c:v>77.482758620689651</c:v>
                </c:pt>
              </c:numCache>
            </c:numRef>
          </c:val>
          <c:extLst>
            <c:ext xmlns:c16="http://schemas.microsoft.com/office/drawing/2014/chart" uri="{C3380CC4-5D6E-409C-BE32-E72D297353CC}">
              <c16:uniqueId val="{00000001-DC2B-4055-BCC0-18CAA98916F6}"/>
            </c:ext>
          </c:extLst>
        </c:ser>
        <c:dLbls>
          <c:showLegendKey val="0"/>
          <c:showVal val="0"/>
          <c:showCatName val="0"/>
          <c:showSerName val="0"/>
          <c:showPercent val="0"/>
          <c:showBubbleSize val="0"/>
        </c:dLbls>
        <c:gapWidth val="219"/>
        <c:overlap val="-27"/>
        <c:axId val="586850847"/>
        <c:axId val="586851263"/>
      </c:barChart>
      <c:catAx>
        <c:axId val="58685084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851263"/>
        <c:crosses val="autoZero"/>
        <c:auto val="1"/>
        <c:lblAlgn val="ctr"/>
        <c:lblOffset val="100"/>
        <c:noMultiLvlLbl val="0"/>
      </c:catAx>
      <c:valAx>
        <c:axId val="586851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85084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144780</xdr:rowOff>
    </xdr:from>
    <xdr:to>
      <xdr:col>4</xdr:col>
      <xdr:colOff>99060</xdr:colOff>
      <xdr:row>26</xdr:row>
      <xdr:rowOff>148590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118655</xdr:colOff>
      <xdr:row>11</xdr:row>
      <xdr:rowOff>185057</xdr:rowOff>
    </xdr:from>
    <xdr:to>
      <xdr:col>9</xdr:col>
      <xdr:colOff>88175</xdr:colOff>
      <xdr:row>26</xdr:row>
      <xdr:rowOff>132261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441960</xdr:colOff>
      <xdr:row>12</xdr:row>
      <xdr:rowOff>68580</xdr:rowOff>
    </xdr:from>
    <xdr:to>
      <xdr:col>16</xdr:col>
      <xdr:colOff>167640</xdr:colOff>
      <xdr:row>27</xdr:row>
      <xdr:rowOff>72390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1083129</xdr:colOff>
      <xdr:row>27</xdr:row>
      <xdr:rowOff>56062</xdr:rowOff>
    </xdr:from>
    <xdr:to>
      <xdr:col>2</xdr:col>
      <xdr:colOff>62049</xdr:colOff>
      <xdr:row>40</xdr:row>
      <xdr:rowOff>141515</xdr:rowOff>
    </xdr:to>
    <mc:AlternateContent xmlns:mc="http://schemas.openxmlformats.org/markup-compatibility/2006">
      <mc:Choice xmlns:sle15="http://schemas.microsoft.com/office/drawing/2012/slicer" Requires="sle15">
        <xdr:graphicFrame macro="">
          <xdr:nvGraphicFramePr>
            <xdr:cNvPr id="5"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83129" y="5488033"/>
              <a:ext cx="1830977" cy="24911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177437</xdr:colOff>
      <xdr:row>27</xdr:row>
      <xdr:rowOff>171723</xdr:rowOff>
    </xdr:from>
    <xdr:to>
      <xdr:col>15</xdr:col>
      <xdr:colOff>2177</xdr:colOff>
      <xdr:row>41</xdr:row>
      <xdr:rowOff>82460</xdr:rowOff>
    </xdr:to>
    <mc:AlternateContent xmlns:mc="http://schemas.openxmlformats.org/markup-compatibility/2006">
      <mc:Choice xmlns:sle15="http://schemas.microsoft.com/office/drawing/2012/slicer" Requires="sle15">
        <xdr:graphicFrame macro="">
          <xdr:nvGraphicFramePr>
            <xdr:cNvPr id="6" name="Semester"/>
            <xdr:cNvGraphicFramePr/>
          </xdr:nvGraphicFramePr>
          <xdr:xfrm>
            <a:off x="0" y="0"/>
            <a:ext cx="0" cy="0"/>
          </xdr:xfrm>
          <a:graphic>
            <a:graphicData uri="http://schemas.microsoft.com/office/drawing/2010/slicer">
              <sle:slicer xmlns:sle="http://schemas.microsoft.com/office/drawing/2010/slicer" name="Semester"/>
            </a:graphicData>
          </a:graphic>
        </xdr:graphicFrame>
      </mc:Choice>
      <mc:Fallback>
        <xdr:sp macro="" textlink="">
          <xdr:nvSpPr>
            <xdr:cNvPr id="0" name=""/>
            <xdr:cNvSpPr>
              <a:spLocks noTextEdit="1"/>
            </xdr:cNvSpPr>
          </xdr:nvSpPr>
          <xdr:spPr>
            <a:xfrm>
              <a:off x="10094323" y="5603694"/>
              <a:ext cx="1827711" cy="250153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741317</xdr:colOff>
      <xdr:row>27</xdr:row>
      <xdr:rowOff>84365</xdr:rowOff>
    </xdr:from>
    <xdr:to>
      <xdr:col>7</xdr:col>
      <xdr:colOff>538843</xdr:colOff>
      <xdr:row>40</xdr:row>
      <xdr:rowOff>169818</xdr:rowOff>
    </xdr:to>
    <mc:AlternateContent xmlns:mc="http://schemas.openxmlformats.org/markup-compatibility/2006">
      <mc:Choice xmlns:sle15="http://schemas.microsoft.com/office/drawing/2012/slicer" Requires="sle15">
        <xdr:graphicFrame macro="">
          <xdr:nvGraphicFramePr>
            <xdr:cNvPr id="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422174" y="5516336"/>
              <a:ext cx="1833155" cy="24911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extLst>
    <x:ext xmlns:x15="http://schemas.microsoft.com/office/spreadsheetml/2010/11/main" uri="{2F2917AC-EB37-4324-AD4E-5DD8C200BD13}">
      <x15:tableSlicerCache tableId="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mester" sourceName="Semester">
  <extLst>
    <x:ext xmlns:x15="http://schemas.microsoft.com/office/spreadsheetml/2010/11/main" uri="{2F2917AC-EB37-4324-AD4E-5DD8C200BD13}">
      <x15:tableSlicerCache tableId="2"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2"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34950"/>
  <slicer name="Semester" cache="Slicer_Semester" caption="Semester" rowHeight="234950"/>
  <slicer name="Gender" cache="Slicer_Gender" caption="Gender" rowHeight="234950"/>
</slicers>
</file>

<file path=xl/tables/table1.xml><?xml version="1.0" encoding="utf-8"?>
<table xmlns="http://schemas.openxmlformats.org/spreadsheetml/2006/main" id="2" name="StudentData" displayName="StudentData" ref="A1:H201" totalsRowShown="0" headerRowDxfId="2">
  <autoFilter ref="A1:H201"/>
  <tableColumns count="8">
    <tableColumn id="1" name="Student ID" dataDxfId="1"/>
    <tableColumn id="2" name="Student Name"/>
    <tableColumn id="3" name="Department"/>
    <tableColumn id="4" name="Semester"/>
    <tableColumn id="5" name="Marks"/>
    <tableColumn id="6" name="Attendance %"/>
    <tableColumn id="7" name="Gender"/>
    <tableColumn id="8" name="Grade" dataDxfId="0">
      <calculatedColumnFormula>IF(StudentData[[#This Row],[Marks]]&gt;=80,"A",IF(StudentData[[#This Row],[Marks]]&gt;=65,"B",IF(StudentData[[#This Row],[Marks]]&gt;=50,"C","F")))</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workbookViewId="0">
      <selection activeCell="C180" sqref="C180"/>
    </sheetView>
  </sheetViews>
  <sheetFormatPr defaultRowHeight="14.4" x14ac:dyDescent="0.3"/>
  <cols>
    <col min="1" max="1" width="11.77734375" customWidth="1"/>
    <col min="2" max="2" width="19.6640625" customWidth="1"/>
    <col min="3" max="3" width="13" customWidth="1"/>
    <col min="4" max="4" width="11.88671875" customWidth="1"/>
    <col min="5" max="5" width="12" customWidth="1"/>
    <col min="6" max="6" width="14.5546875" customWidth="1"/>
    <col min="7" max="7" width="14.88671875" customWidth="1"/>
    <col min="8" max="8" width="13.33203125" customWidth="1"/>
  </cols>
  <sheetData>
    <row r="1" spans="1:8" x14ac:dyDescent="0.3">
      <c r="A1" s="2" t="s">
        <v>0</v>
      </c>
      <c r="B1" s="2" t="s">
        <v>1</v>
      </c>
      <c r="C1" s="2" t="s">
        <v>2</v>
      </c>
      <c r="D1" s="2" t="s">
        <v>3</v>
      </c>
      <c r="E1" s="2" t="s">
        <v>4</v>
      </c>
      <c r="F1" s="2" t="s">
        <v>5</v>
      </c>
      <c r="G1" s="2" t="s">
        <v>6</v>
      </c>
      <c r="H1" s="2" t="s">
        <v>143</v>
      </c>
    </row>
    <row r="2" spans="1:8" x14ac:dyDescent="0.3">
      <c r="A2" s="1">
        <v>1001</v>
      </c>
      <c r="B2" t="s">
        <v>7</v>
      </c>
      <c r="C2" t="s">
        <v>8</v>
      </c>
      <c r="D2">
        <v>5</v>
      </c>
      <c r="E2">
        <v>58</v>
      </c>
      <c r="F2">
        <v>60</v>
      </c>
      <c r="G2" t="s">
        <v>9</v>
      </c>
      <c r="H2" t="str">
        <f>IF(StudentData[[#This Row],[Marks]]&gt;=80,"A",IF(StudentData[[#This Row],[Marks]]&gt;=65,"B",IF(StudentData[[#This Row],[Marks]]&gt;=50,"C","F")))</f>
        <v>C</v>
      </c>
    </row>
    <row r="3" spans="1:8" x14ac:dyDescent="0.3">
      <c r="A3" s="1">
        <v>1002</v>
      </c>
      <c r="B3" t="s">
        <v>10</v>
      </c>
      <c r="C3" t="s">
        <v>11</v>
      </c>
      <c r="D3">
        <v>1</v>
      </c>
      <c r="E3">
        <v>52</v>
      </c>
      <c r="F3">
        <v>63</v>
      </c>
      <c r="G3" t="s">
        <v>12</v>
      </c>
      <c r="H3" t="str">
        <f>IF(StudentData[[#This Row],[Marks]]&gt;=80,"A",IF(StudentData[[#This Row],[Marks]]&gt;=65,"B",IF(StudentData[[#This Row],[Marks]]&gt;=50,"C","F")))</f>
        <v>C</v>
      </c>
    </row>
    <row r="4" spans="1:8" x14ac:dyDescent="0.3">
      <c r="A4" s="1">
        <v>1003</v>
      </c>
      <c r="B4" t="s">
        <v>13</v>
      </c>
      <c r="C4" t="s">
        <v>14</v>
      </c>
      <c r="D4">
        <v>3</v>
      </c>
      <c r="E4">
        <v>74</v>
      </c>
      <c r="F4">
        <v>70</v>
      </c>
      <c r="G4" t="s">
        <v>9</v>
      </c>
      <c r="H4" t="str">
        <f>IF(StudentData[[#This Row],[Marks]]&gt;=80,"A",IF(StudentData[[#This Row],[Marks]]&gt;=65,"B",IF(StudentData[[#This Row],[Marks]]&gt;=50,"C","F")))</f>
        <v>B</v>
      </c>
    </row>
    <row r="5" spans="1:8" x14ac:dyDescent="0.3">
      <c r="A5" s="1">
        <v>1004</v>
      </c>
      <c r="B5" t="s">
        <v>15</v>
      </c>
      <c r="C5" t="s">
        <v>8</v>
      </c>
      <c r="D5">
        <v>2</v>
      </c>
      <c r="E5">
        <v>79</v>
      </c>
      <c r="F5">
        <v>75</v>
      </c>
      <c r="G5" t="s">
        <v>12</v>
      </c>
      <c r="H5" t="str">
        <f>IF(StudentData[[#This Row],[Marks]]&gt;=80,"A",IF(StudentData[[#This Row],[Marks]]&gt;=65,"B",IF(StudentData[[#This Row],[Marks]]&gt;=50,"C","F")))</f>
        <v>B</v>
      </c>
    </row>
    <row r="6" spans="1:8" x14ac:dyDescent="0.3">
      <c r="A6" s="1">
        <v>1005</v>
      </c>
      <c r="B6" t="s">
        <v>16</v>
      </c>
      <c r="C6" t="s">
        <v>17</v>
      </c>
      <c r="D6">
        <v>4</v>
      </c>
      <c r="E6">
        <v>91</v>
      </c>
      <c r="F6">
        <v>89</v>
      </c>
      <c r="G6" t="s">
        <v>12</v>
      </c>
      <c r="H6" t="str">
        <f>IF(StudentData[[#This Row],[Marks]]&gt;=80,"A",IF(StudentData[[#This Row],[Marks]]&gt;=65,"B",IF(StudentData[[#This Row],[Marks]]&gt;=50,"C","F")))</f>
        <v>A</v>
      </c>
    </row>
    <row r="7" spans="1:8" x14ac:dyDescent="0.3">
      <c r="A7" s="1">
        <v>1006</v>
      </c>
      <c r="B7" t="s">
        <v>18</v>
      </c>
      <c r="C7" t="s">
        <v>11</v>
      </c>
      <c r="D7">
        <v>3</v>
      </c>
      <c r="E7">
        <v>83</v>
      </c>
      <c r="F7">
        <v>83</v>
      </c>
      <c r="G7" t="s">
        <v>9</v>
      </c>
      <c r="H7" t="str">
        <f>IF(StudentData[[#This Row],[Marks]]&gt;=80,"A",IF(StudentData[[#This Row],[Marks]]&gt;=65,"B",IF(StudentData[[#This Row],[Marks]]&gt;=50,"C","F")))</f>
        <v>A</v>
      </c>
    </row>
    <row r="8" spans="1:8" x14ac:dyDescent="0.3">
      <c r="A8" s="1">
        <v>1007</v>
      </c>
      <c r="B8" t="s">
        <v>19</v>
      </c>
      <c r="C8" t="s">
        <v>8</v>
      </c>
      <c r="D8">
        <v>4</v>
      </c>
      <c r="E8">
        <v>86</v>
      </c>
      <c r="F8">
        <v>87</v>
      </c>
      <c r="G8" t="s">
        <v>12</v>
      </c>
      <c r="H8" t="str">
        <f>IF(StudentData[[#This Row],[Marks]]&gt;=80,"A",IF(StudentData[[#This Row],[Marks]]&gt;=65,"B",IF(StudentData[[#This Row],[Marks]]&gt;=50,"C","F")))</f>
        <v>A</v>
      </c>
    </row>
    <row r="9" spans="1:8" x14ac:dyDescent="0.3">
      <c r="A9" s="1">
        <v>1008</v>
      </c>
      <c r="B9" t="s">
        <v>20</v>
      </c>
      <c r="C9" t="s">
        <v>21</v>
      </c>
      <c r="D9">
        <v>5</v>
      </c>
      <c r="E9">
        <v>69</v>
      </c>
      <c r="F9">
        <v>67</v>
      </c>
      <c r="G9" t="s">
        <v>9</v>
      </c>
      <c r="H9" t="str">
        <f>IF(StudentData[[#This Row],[Marks]]&gt;=80,"A",IF(StudentData[[#This Row],[Marks]]&gt;=65,"B",IF(StudentData[[#This Row],[Marks]]&gt;=50,"C","F")))</f>
        <v>B</v>
      </c>
    </row>
    <row r="10" spans="1:8" x14ac:dyDescent="0.3">
      <c r="A10" s="1">
        <v>1009</v>
      </c>
      <c r="B10" t="s">
        <v>22</v>
      </c>
      <c r="C10" t="s">
        <v>11</v>
      </c>
      <c r="D10">
        <v>8</v>
      </c>
      <c r="E10">
        <v>100</v>
      </c>
      <c r="F10">
        <v>97</v>
      </c>
      <c r="G10" t="s">
        <v>9</v>
      </c>
      <c r="H10" t="str">
        <f>IF(StudentData[[#This Row],[Marks]]&gt;=80,"A",IF(StudentData[[#This Row],[Marks]]&gt;=65,"B",IF(StudentData[[#This Row],[Marks]]&gt;=50,"C","F")))</f>
        <v>A</v>
      </c>
    </row>
    <row r="11" spans="1:8" x14ac:dyDescent="0.3">
      <c r="A11" s="1">
        <v>1010</v>
      </c>
      <c r="B11" t="s">
        <v>23</v>
      </c>
      <c r="C11" t="s">
        <v>17</v>
      </c>
      <c r="D11">
        <v>3</v>
      </c>
      <c r="E11">
        <v>94</v>
      </c>
      <c r="F11">
        <v>92</v>
      </c>
      <c r="G11" t="s">
        <v>12</v>
      </c>
      <c r="H11" t="str">
        <f>IF(StudentData[[#This Row],[Marks]]&gt;=80,"A",IF(StudentData[[#This Row],[Marks]]&gt;=65,"B",IF(StudentData[[#This Row],[Marks]]&gt;=50,"C","F")))</f>
        <v>A</v>
      </c>
    </row>
    <row r="12" spans="1:8" x14ac:dyDescent="0.3">
      <c r="A12" s="1">
        <v>1011</v>
      </c>
      <c r="B12" t="s">
        <v>24</v>
      </c>
      <c r="C12" t="s">
        <v>17</v>
      </c>
      <c r="D12">
        <v>6</v>
      </c>
      <c r="E12">
        <v>71</v>
      </c>
      <c r="F12">
        <v>77</v>
      </c>
      <c r="G12" t="s">
        <v>12</v>
      </c>
      <c r="H12" t="str">
        <f>IF(StudentData[[#This Row],[Marks]]&gt;=80,"A",IF(StudentData[[#This Row],[Marks]]&gt;=65,"B",IF(StudentData[[#This Row],[Marks]]&gt;=50,"C","F")))</f>
        <v>B</v>
      </c>
    </row>
    <row r="13" spans="1:8" x14ac:dyDescent="0.3">
      <c r="A13" s="1">
        <v>1012</v>
      </c>
      <c r="B13" t="s">
        <v>25</v>
      </c>
      <c r="C13" t="s">
        <v>8</v>
      </c>
      <c r="D13">
        <v>7</v>
      </c>
      <c r="E13">
        <v>70</v>
      </c>
      <c r="F13">
        <v>62</v>
      </c>
      <c r="G13" t="s">
        <v>12</v>
      </c>
      <c r="H13" t="str">
        <f>IF(StudentData[[#This Row],[Marks]]&gt;=80,"A",IF(StudentData[[#This Row],[Marks]]&gt;=65,"B",IF(StudentData[[#This Row],[Marks]]&gt;=50,"C","F")))</f>
        <v>B</v>
      </c>
    </row>
    <row r="14" spans="1:8" x14ac:dyDescent="0.3">
      <c r="A14" s="1">
        <v>1013</v>
      </c>
      <c r="B14" t="s">
        <v>26</v>
      </c>
      <c r="C14" t="s">
        <v>11</v>
      </c>
      <c r="D14">
        <v>5</v>
      </c>
      <c r="E14">
        <v>72</v>
      </c>
      <c r="F14">
        <v>76</v>
      </c>
      <c r="G14" t="s">
        <v>12</v>
      </c>
      <c r="H14" t="str">
        <f>IF(StudentData[[#This Row],[Marks]]&gt;=80,"A",IF(StudentData[[#This Row],[Marks]]&gt;=65,"B",IF(StudentData[[#This Row],[Marks]]&gt;=50,"C","F")))</f>
        <v>B</v>
      </c>
    </row>
    <row r="15" spans="1:8" x14ac:dyDescent="0.3">
      <c r="A15" s="1">
        <v>1014</v>
      </c>
      <c r="B15" t="s">
        <v>27</v>
      </c>
      <c r="C15" t="s">
        <v>21</v>
      </c>
      <c r="D15">
        <v>3</v>
      </c>
      <c r="E15">
        <v>100</v>
      </c>
      <c r="F15">
        <v>96</v>
      </c>
      <c r="G15" t="s">
        <v>9</v>
      </c>
      <c r="H15" t="str">
        <f>IF(StudentData[[#This Row],[Marks]]&gt;=80,"A",IF(StudentData[[#This Row],[Marks]]&gt;=65,"B",IF(StudentData[[#This Row],[Marks]]&gt;=50,"C","F")))</f>
        <v>A</v>
      </c>
    </row>
    <row r="16" spans="1:8" x14ac:dyDescent="0.3">
      <c r="A16" s="1">
        <v>1015</v>
      </c>
      <c r="B16" t="s">
        <v>28</v>
      </c>
      <c r="C16" t="s">
        <v>11</v>
      </c>
      <c r="D16">
        <v>8</v>
      </c>
      <c r="E16">
        <v>98</v>
      </c>
      <c r="F16">
        <v>94</v>
      </c>
      <c r="G16" t="s">
        <v>12</v>
      </c>
      <c r="H16" t="str">
        <f>IF(StudentData[[#This Row],[Marks]]&gt;=80,"A",IF(StudentData[[#This Row],[Marks]]&gt;=65,"B",IF(StudentData[[#This Row],[Marks]]&gt;=50,"C","F")))</f>
        <v>A</v>
      </c>
    </row>
    <row r="17" spans="1:8" x14ac:dyDescent="0.3">
      <c r="A17" s="1">
        <v>1016</v>
      </c>
      <c r="B17" t="s">
        <v>29</v>
      </c>
      <c r="C17" t="s">
        <v>21</v>
      </c>
      <c r="D17">
        <v>5</v>
      </c>
      <c r="E17">
        <v>74</v>
      </c>
      <c r="F17">
        <v>68</v>
      </c>
      <c r="G17" t="s">
        <v>9</v>
      </c>
      <c r="H17" t="str">
        <f>IF(StudentData[[#This Row],[Marks]]&gt;=80,"A",IF(StudentData[[#This Row],[Marks]]&gt;=65,"B",IF(StudentData[[#This Row],[Marks]]&gt;=50,"C","F")))</f>
        <v>B</v>
      </c>
    </row>
    <row r="18" spans="1:8" x14ac:dyDescent="0.3">
      <c r="A18" s="1">
        <v>1017</v>
      </c>
      <c r="B18" t="s">
        <v>30</v>
      </c>
      <c r="C18" t="s">
        <v>21</v>
      </c>
      <c r="D18">
        <v>5</v>
      </c>
      <c r="E18">
        <v>64</v>
      </c>
      <c r="F18">
        <v>66</v>
      </c>
      <c r="G18" t="s">
        <v>12</v>
      </c>
      <c r="H18" t="str">
        <f>IF(StudentData[[#This Row],[Marks]]&gt;=80,"A",IF(StudentData[[#This Row],[Marks]]&gt;=65,"B",IF(StudentData[[#This Row],[Marks]]&gt;=50,"C","F")))</f>
        <v>C</v>
      </c>
    </row>
    <row r="19" spans="1:8" x14ac:dyDescent="0.3">
      <c r="A19" s="1">
        <v>1018</v>
      </c>
      <c r="B19" t="s">
        <v>31</v>
      </c>
      <c r="C19" t="s">
        <v>11</v>
      </c>
      <c r="D19">
        <v>3</v>
      </c>
      <c r="E19">
        <v>49</v>
      </c>
      <c r="F19">
        <v>64</v>
      </c>
      <c r="G19" t="s">
        <v>9</v>
      </c>
      <c r="H19" t="str">
        <f>IF(StudentData[[#This Row],[Marks]]&gt;=80,"A",IF(StudentData[[#This Row],[Marks]]&gt;=65,"B",IF(StudentData[[#This Row],[Marks]]&gt;=50,"C","F")))</f>
        <v>F</v>
      </c>
    </row>
    <row r="20" spans="1:8" x14ac:dyDescent="0.3">
      <c r="A20" s="1">
        <v>1019</v>
      </c>
      <c r="B20" t="s">
        <v>32</v>
      </c>
      <c r="C20" t="s">
        <v>11</v>
      </c>
      <c r="D20">
        <v>6</v>
      </c>
      <c r="E20">
        <v>100</v>
      </c>
      <c r="F20">
        <v>98</v>
      </c>
      <c r="G20" t="s">
        <v>12</v>
      </c>
      <c r="H20" t="str">
        <f>IF(StudentData[[#This Row],[Marks]]&gt;=80,"A",IF(StudentData[[#This Row],[Marks]]&gt;=65,"B",IF(StudentData[[#This Row],[Marks]]&gt;=50,"C","F")))</f>
        <v>A</v>
      </c>
    </row>
    <row r="21" spans="1:8" x14ac:dyDescent="0.3">
      <c r="A21" s="1">
        <v>1020</v>
      </c>
      <c r="B21" t="s">
        <v>33</v>
      </c>
      <c r="C21" t="s">
        <v>21</v>
      </c>
      <c r="D21">
        <v>5</v>
      </c>
      <c r="E21">
        <v>89</v>
      </c>
      <c r="F21">
        <v>87</v>
      </c>
      <c r="G21" t="s">
        <v>9</v>
      </c>
      <c r="H21" t="str">
        <f>IF(StudentData[[#This Row],[Marks]]&gt;=80,"A",IF(StudentData[[#This Row],[Marks]]&gt;=65,"B",IF(StudentData[[#This Row],[Marks]]&gt;=50,"C","F")))</f>
        <v>A</v>
      </c>
    </row>
    <row r="22" spans="1:8" x14ac:dyDescent="0.3">
      <c r="A22" s="1">
        <v>1021</v>
      </c>
      <c r="B22" t="s">
        <v>34</v>
      </c>
      <c r="C22" t="s">
        <v>8</v>
      </c>
      <c r="D22">
        <v>3</v>
      </c>
      <c r="E22">
        <v>74</v>
      </c>
      <c r="F22">
        <v>83</v>
      </c>
      <c r="G22" t="s">
        <v>12</v>
      </c>
      <c r="H22" t="str">
        <f>IF(StudentData[[#This Row],[Marks]]&gt;=80,"A",IF(StudentData[[#This Row],[Marks]]&gt;=65,"B",IF(StudentData[[#This Row],[Marks]]&gt;=50,"C","F")))</f>
        <v>B</v>
      </c>
    </row>
    <row r="23" spans="1:8" x14ac:dyDescent="0.3">
      <c r="A23" s="1">
        <v>1022</v>
      </c>
      <c r="B23" t="s">
        <v>35</v>
      </c>
      <c r="C23" t="s">
        <v>8</v>
      </c>
      <c r="D23">
        <v>3</v>
      </c>
      <c r="E23">
        <v>82</v>
      </c>
      <c r="F23">
        <v>96</v>
      </c>
      <c r="G23" t="s">
        <v>9</v>
      </c>
      <c r="H23" t="str">
        <f>IF(StudentData[[#This Row],[Marks]]&gt;=80,"A",IF(StudentData[[#This Row],[Marks]]&gt;=65,"B",IF(StudentData[[#This Row],[Marks]]&gt;=50,"C","F")))</f>
        <v>A</v>
      </c>
    </row>
    <row r="24" spans="1:8" x14ac:dyDescent="0.3">
      <c r="A24" s="1">
        <v>1023</v>
      </c>
      <c r="B24" t="s">
        <v>10</v>
      </c>
      <c r="C24" t="s">
        <v>11</v>
      </c>
      <c r="D24">
        <v>3</v>
      </c>
      <c r="E24">
        <v>82</v>
      </c>
      <c r="F24">
        <v>95</v>
      </c>
      <c r="G24" t="s">
        <v>12</v>
      </c>
      <c r="H24" t="str">
        <f>IF(StudentData[[#This Row],[Marks]]&gt;=80,"A",IF(StudentData[[#This Row],[Marks]]&gt;=65,"B",IF(StudentData[[#This Row],[Marks]]&gt;=50,"C","F")))</f>
        <v>A</v>
      </c>
    </row>
    <row r="25" spans="1:8" x14ac:dyDescent="0.3">
      <c r="A25" s="1">
        <v>1024</v>
      </c>
      <c r="B25" t="s">
        <v>36</v>
      </c>
      <c r="C25" t="s">
        <v>8</v>
      </c>
      <c r="D25">
        <v>3</v>
      </c>
      <c r="E25">
        <v>82</v>
      </c>
      <c r="F25">
        <v>87</v>
      </c>
      <c r="G25" t="s">
        <v>12</v>
      </c>
      <c r="H25" t="str">
        <f>IF(StudentData[[#This Row],[Marks]]&gt;=80,"A",IF(StudentData[[#This Row],[Marks]]&gt;=65,"B",IF(StudentData[[#This Row],[Marks]]&gt;=50,"C","F")))</f>
        <v>A</v>
      </c>
    </row>
    <row r="26" spans="1:8" x14ac:dyDescent="0.3">
      <c r="A26" s="1">
        <v>1025</v>
      </c>
      <c r="B26" t="s">
        <v>37</v>
      </c>
      <c r="C26" t="s">
        <v>14</v>
      </c>
      <c r="D26">
        <v>8</v>
      </c>
      <c r="E26">
        <v>75</v>
      </c>
      <c r="F26">
        <v>71</v>
      </c>
      <c r="G26" t="s">
        <v>12</v>
      </c>
      <c r="H26" t="str">
        <f>IF(StudentData[[#This Row],[Marks]]&gt;=80,"A",IF(StudentData[[#This Row],[Marks]]&gt;=65,"B",IF(StudentData[[#This Row],[Marks]]&gt;=50,"C","F")))</f>
        <v>B</v>
      </c>
    </row>
    <row r="27" spans="1:8" x14ac:dyDescent="0.3">
      <c r="A27" s="1">
        <v>1026</v>
      </c>
      <c r="B27" t="s">
        <v>38</v>
      </c>
      <c r="C27" t="s">
        <v>14</v>
      </c>
      <c r="D27">
        <v>8</v>
      </c>
      <c r="E27">
        <v>84</v>
      </c>
      <c r="F27">
        <v>85</v>
      </c>
      <c r="G27" t="s">
        <v>9</v>
      </c>
      <c r="H27" t="str">
        <f>IF(StudentData[[#This Row],[Marks]]&gt;=80,"A",IF(StudentData[[#This Row],[Marks]]&gt;=65,"B",IF(StudentData[[#This Row],[Marks]]&gt;=50,"C","F")))</f>
        <v>A</v>
      </c>
    </row>
    <row r="28" spans="1:8" x14ac:dyDescent="0.3">
      <c r="A28" s="1">
        <v>1027</v>
      </c>
      <c r="B28" t="s">
        <v>39</v>
      </c>
      <c r="C28" t="s">
        <v>11</v>
      </c>
      <c r="D28">
        <v>8</v>
      </c>
      <c r="E28">
        <v>83</v>
      </c>
      <c r="F28">
        <v>92</v>
      </c>
      <c r="G28" t="s">
        <v>12</v>
      </c>
      <c r="H28" t="str">
        <f>IF(StudentData[[#This Row],[Marks]]&gt;=80,"A",IF(StudentData[[#This Row],[Marks]]&gt;=65,"B",IF(StudentData[[#This Row],[Marks]]&gt;=50,"C","F")))</f>
        <v>A</v>
      </c>
    </row>
    <row r="29" spans="1:8" x14ac:dyDescent="0.3">
      <c r="A29" s="1">
        <v>1028</v>
      </c>
      <c r="B29" t="s">
        <v>40</v>
      </c>
      <c r="C29" t="s">
        <v>8</v>
      </c>
      <c r="D29">
        <v>1</v>
      </c>
      <c r="E29">
        <v>75</v>
      </c>
      <c r="F29">
        <v>84</v>
      </c>
      <c r="G29" t="s">
        <v>12</v>
      </c>
      <c r="H29" t="str">
        <f>IF(StudentData[[#This Row],[Marks]]&gt;=80,"A",IF(StudentData[[#This Row],[Marks]]&gt;=65,"B",IF(StudentData[[#This Row],[Marks]]&gt;=50,"C","F")))</f>
        <v>B</v>
      </c>
    </row>
    <row r="30" spans="1:8" x14ac:dyDescent="0.3">
      <c r="A30" s="1">
        <v>1029</v>
      </c>
      <c r="B30" t="s">
        <v>41</v>
      </c>
      <c r="C30" t="s">
        <v>8</v>
      </c>
      <c r="D30">
        <v>6</v>
      </c>
      <c r="E30">
        <v>80</v>
      </c>
      <c r="F30">
        <v>89</v>
      </c>
      <c r="G30" t="s">
        <v>9</v>
      </c>
      <c r="H30" t="str">
        <f>IF(StudentData[[#This Row],[Marks]]&gt;=80,"A",IF(StudentData[[#This Row],[Marks]]&gt;=65,"B",IF(StudentData[[#This Row],[Marks]]&gt;=50,"C","F")))</f>
        <v>A</v>
      </c>
    </row>
    <row r="31" spans="1:8" x14ac:dyDescent="0.3">
      <c r="A31" s="1">
        <v>1030</v>
      </c>
      <c r="B31" t="s">
        <v>42</v>
      </c>
      <c r="C31" t="s">
        <v>11</v>
      </c>
      <c r="D31">
        <v>3</v>
      </c>
      <c r="E31">
        <v>86</v>
      </c>
      <c r="F31">
        <v>92</v>
      </c>
      <c r="G31" t="s">
        <v>12</v>
      </c>
      <c r="H31" t="str">
        <f>IF(StudentData[[#This Row],[Marks]]&gt;=80,"A",IF(StudentData[[#This Row],[Marks]]&gt;=65,"B",IF(StudentData[[#This Row],[Marks]]&gt;=50,"C","F")))</f>
        <v>A</v>
      </c>
    </row>
    <row r="32" spans="1:8" x14ac:dyDescent="0.3">
      <c r="A32" s="1">
        <v>1031</v>
      </c>
      <c r="B32" t="s">
        <v>43</v>
      </c>
      <c r="C32" t="s">
        <v>8</v>
      </c>
      <c r="D32">
        <v>2</v>
      </c>
      <c r="E32">
        <v>73</v>
      </c>
      <c r="F32">
        <v>82</v>
      </c>
      <c r="G32" t="s">
        <v>9</v>
      </c>
      <c r="H32" t="str">
        <f>IF(StudentData[[#This Row],[Marks]]&gt;=80,"A",IF(StudentData[[#This Row],[Marks]]&gt;=65,"B",IF(StudentData[[#This Row],[Marks]]&gt;=50,"C","F")))</f>
        <v>B</v>
      </c>
    </row>
    <row r="33" spans="1:8" x14ac:dyDescent="0.3">
      <c r="A33" s="1">
        <v>1032</v>
      </c>
      <c r="B33" t="s">
        <v>44</v>
      </c>
      <c r="C33" t="s">
        <v>8</v>
      </c>
      <c r="D33">
        <v>7</v>
      </c>
      <c r="E33">
        <v>80</v>
      </c>
      <c r="F33">
        <v>84</v>
      </c>
      <c r="G33" t="s">
        <v>9</v>
      </c>
      <c r="H33" t="str">
        <f>IF(StudentData[[#This Row],[Marks]]&gt;=80,"A",IF(StudentData[[#This Row],[Marks]]&gt;=65,"B",IF(StudentData[[#This Row],[Marks]]&gt;=50,"C","F")))</f>
        <v>A</v>
      </c>
    </row>
    <row r="34" spans="1:8" x14ac:dyDescent="0.3">
      <c r="A34" s="1">
        <v>1033</v>
      </c>
      <c r="B34" t="s">
        <v>36</v>
      </c>
      <c r="C34" t="s">
        <v>14</v>
      </c>
      <c r="D34">
        <v>5</v>
      </c>
      <c r="E34">
        <v>54</v>
      </c>
      <c r="F34">
        <v>63</v>
      </c>
      <c r="G34" t="s">
        <v>12</v>
      </c>
      <c r="H34" t="str">
        <f>IF(StudentData[[#This Row],[Marks]]&gt;=80,"A",IF(StudentData[[#This Row],[Marks]]&gt;=65,"B",IF(StudentData[[#This Row],[Marks]]&gt;=50,"C","F")))</f>
        <v>C</v>
      </c>
    </row>
    <row r="35" spans="1:8" x14ac:dyDescent="0.3">
      <c r="A35" s="1">
        <v>1034</v>
      </c>
      <c r="B35" t="s">
        <v>25</v>
      </c>
      <c r="C35" t="s">
        <v>8</v>
      </c>
      <c r="D35">
        <v>7</v>
      </c>
      <c r="E35">
        <v>100</v>
      </c>
      <c r="F35">
        <v>93</v>
      </c>
      <c r="G35" t="s">
        <v>12</v>
      </c>
      <c r="H35" t="str">
        <f>IF(StudentData[[#This Row],[Marks]]&gt;=80,"A",IF(StudentData[[#This Row],[Marks]]&gt;=65,"B",IF(StudentData[[#This Row],[Marks]]&gt;=50,"C","F")))</f>
        <v>A</v>
      </c>
    </row>
    <row r="36" spans="1:8" x14ac:dyDescent="0.3">
      <c r="A36" s="1">
        <v>1035</v>
      </c>
      <c r="B36" t="s">
        <v>45</v>
      </c>
      <c r="C36" t="s">
        <v>8</v>
      </c>
      <c r="D36">
        <v>6</v>
      </c>
      <c r="E36">
        <v>65</v>
      </c>
      <c r="F36">
        <v>62</v>
      </c>
      <c r="G36" t="s">
        <v>12</v>
      </c>
      <c r="H36" t="str">
        <f>IF(StudentData[[#This Row],[Marks]]&gt;=80,"A",IF(StudentData[[#This Row],[Marks]]&gt;=65,"B",IF(StudentData[[#This Row],[Marks]]&gt;=50,"C","F")))</f>
        <v>B</v>
      </c>
    </row>
    <row r="37" spans="1:8" x14ac:dyDescent="0.3">
      <c r="A37" s="1">
        <v>1036</v>
      </c>
      <c r="B37" t="s">
        <v>46</v>
      </c>
      <c r="C37" t="s">
        <v>8</v>
      </c>
      <c r="D37">
        <v>5</v>
      </c>
      <c r="E37">
        <v>94</v>
      </c>
      <c r="F37">
        <v>90</v>
      </c>
      <c r="G37" t="s">
        <v>12</v>
      </c>
      <c r="H37" t="str">
        <f>IF(StudentData[[#This Row],[Marks]]&gt;=80,"A",IF(StudentData[[#This Row],[Marks]]&gt;=65,"B",IF(StudentData[[#This Row],[Marks]]&gt;=50,"C","F")))</f>
        <v>A</v>
      </c>
    </row>
    <row r="38" spans="1:8" x14ac:dyDescent="0.3">
      <c r="A38" s="1">
        <v>1037</v>
      </c>
      <c r="B38" t="s">
        <v>47</v>
      </c>
      <c r="C38" t="s">
        <v>14</v>
      </c>
      <c r="D38">
        <v>8</v>
      </c>
      <c r="E38">
        <v>65</v>
      </c>
      <c r="F38">
        <v>73</v>
      </c>
      <c r="G38" t="s">
        <v>12</v>
      </c>
      <c r="H38" t="str">
        <f>IF(StudentData[[#This Row],[Marks]]&gt;=80,"A",IF(StudentData[[#This Row],[Marks]]&gt;=65,"B",IF(StudentData[[#This Row],[Marks]]&gt;=50,"C","F")))</f>
        <v>B</v>
      </c>
    </row>
    <row r="39" spans="1:8" x14ac:dyDescent="0.3">
      <c r="A39" s="1">
        <v>1038</v>
      </c>
      <c r="B39" t="s">
        <v>48</v>
      </c>
      <c r="C39" t="s">
        <v>21</v>
      </c>
      <c r="D39">
        <v>4</v>
      </c>
      <c r="E39">
        <v>68</v>
      </c>
      <c r="F39">
        <v>83</v>
      </c>
      <c r="G39" t="s">
        <v>12</v>
      </c>
      <c r="H39" t="str">
        <f>IF(StudentData[[#This Row],[Marks]]&gt;=80,"A",IF(StudentData[[#This Row],[Marks]]&gt;=65,"B",IF(StudentData[[#This Row],[Marks]]&gt;=50,"C","F")))</f>
        <v>B</v>
      </c>
    </row>
    <row r="40" spans="1:8" x14ac:dyDescent="0.3">
      <c r="A40" s="1">
        <v>1039</v>
      </c>
      <c r="B40" t="s">
        <v>49</v>
      </c>
      <c r="C40" t="s">
        <v>8</v>
      </c>
      <c r="D40">
        <v>7</v>
      </c>
      <c r="E40">
        <v>97</v>
      </c>
      <c r="F40">
        <v>96</v>
      </c>
      <c r="G40" t="s">
        <v>12</v>
      </c>
      <c r="H40" t="str">
        <f>IF(StudentData[[#This Row],[Marks]]&gt;=80,"A",IF(StudentData[[#This Row],[Marks]]&gt;=65,"B",IF(StudentData[[#This Row],[Marks]]&gt;=50,"C","F")))</f>
        <v>A</v>
      </c>
    </row>
    <row r="41" spans="1:8" x14ac:dyDescent="0.3">
      <c r="A41" s="1">
        <v>1040</v>
      </c>
      <c r="B41" t="s">
        <v>36</v>
      </c>
      <c r="C41" t="s">
        <v>8</v>
      </c>
      <c r="D41">
        <v>8</v>
      </c>
      <c r="E41">
        <v>69</v>
      </c>
      <c r="F41">
        <v>71</v>
      </c>
      <c r="G41" t="s">
        <v>12</v>
      </c>
      <c r="H41" t="str">
        <f>IF(StudentData[[#This Row],[Marks]]&gt;=80,"A",IF(StudentData[[#This Row],[Marks]]&gt;=65,"B",IF(StudentData[[#This Row],[Marks]]&gt;=50,"C","F")))</f>
        <v>B</v>
      </c>
    </row>
    <row r="42" spans="1:8" x14ac:dyDescent="0.3">
      <c r="A42" s="1">
        <v>1041</v>
      </c>
      <c r="B42" t="s">
        <v>45</v>
      </c>
      <c r="C42" t="s">
        <v>21</v>
      </c>
      <c r="D42">
        <v>8</v>
      </c>
      <c r="E42">
        <v>79</v>
      </c>
      <c r="F42">
        <v>78</v>
      </c>
      <c r="G42" t="s">
        <v>12</v>
      </c>
      <c r="H42" t="str">
        <f>IF(StudentData[[#This Row],[Marks]]&gt;=80,"A",IF(StudentData[[#This Row],[Marks]]&gt;=65,"B",IF(StudentData[[#This Row],[Marks]]&gt;=50,"C","F")))</f>
        <v>B</v>
      </c>
    </row>
    <row r="43" spans="1:8" x14ac:dyDescent="0.3">
      <c r="A43" s="1">
        <v>1042</v>
      </c>
      <c r="B43" t="s">
        <v>50</v>
      </c>
      <c r="C43" t="s">
        <v>14</v>
      </c>
      <c r="D43">
        <v>1</v>
      </c>
      <c r="E43">
        <v>100</v>
      </c>
      <c r="F43">
        <v>96</v>
      </c>
      <c r="G43" t="s">
        <v>12</v>
      </c>
      <c r="H43" t="str">
        <f>IF(StudentData[[#This Row],[Marks]]&gt;=80,"A",IF(StudentData[[#This Row],[Marks]]&gt;=65,"B",IF(StudentData[[#This Row],[Marks]]&gt;=50,"C","F")))</f>
        <v>A</v>
      </c>
    </row>
    <row r="44" spans="1:8" x14ac:dyDescent="0.3">
      <c r="A44" s="1">
        <v>1043</v>
      </c>
      <c r="B44" t="s">
        <v>51</v>
      </c>
      <c r="C44" t="s">
        <v>14</v>
      </c>
      <c r="D44">
        <v>8</v>
      </c>
      <c r="E44">
        <v>65</v>
      </c>
      <c r="F44">
        <v>75</v>
      </c>
      <c r="G44" t="s">
        <v>9</v>
      </c>
      <c r="H44" t="str">
        <f>IF(StudentData[[#This Row],[Marks]]&gt;=80,"A",IF(StudentData[[#This Row],[Marks]]&gt;=65,"B",IF(StudentData[[#This Row],[Marks]]&gt;=50,"C","F")))</f>
        <v>B</v>
      </c>
    </row>
    <row r="45" spans="1:8" x14ac:dyDescent="0.3">
      <c r="A45" s="1">
        <v>1044</v>
      </c>
      <c r="B45" t="s">
        <v>39</v>
      </c>
      <c r="C45" t="s">
        <v>8</v>
      </c>
      <c r="D45">
        <v>5</v>
      </c>
      <c r="E45">
        <v>93</v>
      </c>
      <c r="F45">
        <v>100</v>
      </c>
      <c r="G45" t="s">
        <v>12</v>
      </c>
      <c r="H45" t="str">
        <f>IF(StudentData[[#This Row],[Marks]]&gt;=80,"A",IF(StudentData[[#This Row],[Marks]]&gt;=65,"B",IF(StudentData[[#This Row],[Marks]]&gt;=50,"C","F")))</f>
        <v>A</v>
      </c>
    </row>
    <row r="46" spans="1:8" x14ac:dyDescent="0.3">
      <c r="A46" s="1">
        <v>1045</v>
      </c>
      <c r="B46" t="s">
        <v>52</v>
      </c>
      <c r="C46" t="s">
        <v>21</v>
      </c>
      <c r="D46">
        <v>2</v>
      </c>
      <c r="E46">
        <v>78</v>
      </c>
      <c r="F46">
        <v>78</v>
      </c>
      <c r="G46" t="s">
        <v>12</v>
      </c>
      <c r="H46" t="str">
        <f>IF(StudentData[[#This Row],[Marks]]&gt;=80,"A",IF(StudentData[[#This Row],[Marks]]&gt;=65,"B",IF(StudentData[[#This Row],[Marks]]&gt;=50,"C","F")))</f>
        <v>B</v>
      </c>
    </row>
    <row r="47" spans="1:8" x14ac:dyDescent="0.3">
      <c r="A47" s="1">
        <v>1046</v>
      </c>
      <c r="B47" t="s">
        <v>53</v>
      </c>
      <c r="C47" t="s">
        <v>8</v>
      </c>
      <c r="D47">
        <v>1</v>
      </c>
      <c r="E47">
        <v>73</v>
      </c>
      <c r="F47">
        <v>76</v>
      </c>
      <c r="G47" t="s">
        <v>12</v>
      </c>
      <c r="H47" t="str">
        <f>IF(StudentData[[#This Row],[Marks]]&gt;=80,"A",IF(StudentData[[#This Row],[Marks]]&gt;=65,"B",IF(StudentData[[#This Row],[Marks]]&gt;=50,"C","F")))</f>
        <v>B</v>
      </c>
    </row>
    <row r="48" spans="1:8" x14ac:dyDescent="0.3">
      <c r="A48" s="1">
        <v>1047</v>
      </c>
      <c r="B48" t="s">
        <v>54</v>
      </c>
      <c r="C48" t="s">
        <v>11</v>
      </c>
      <c r="D48">
        <v>4</v>
      </c>
      <c r="E48">
        <v>67</v>
      </c>
      <c r="F48">
        <v>75</v>
      </c>
      <c r="G48" t="s">
        <v>9</v>
      </c>
      <c r="H48" t="str">
        <f>IF(StudentData[[#This Row],[Marks]]&gt;=80,"A",IF(StudentData[[#This Row],[Marks]]&gt;=65,"B",IF(StudentData[[#This Row],[Marks]]&gt;=50,"C","F")))</f>
        <v>B</v>
      </c>
    </row>
    <row r="49" spans="1:8" x14ac:dyDescent="0.3">
      <c r="A49" s="1">
        <v>1048</v>
      </c>
      <c r="B49" t="s">
        <v>55</v>
      </c>
      <c r="C49" t="s">
        <v>21</v>
      </c>
      <c r="D49">
        <v>6</v>
      </c>
      <c r="E49">
        <v>96</v>
      </c>
      <c r="F49">
        <v>97</v>
      </c>
      <c r="G49" t="s">
        <v>12</v>
      </c>
      <c r="H49" t="str">
        <f>IF(StudentData[[#This Row],[Marks]]&gt;=80,"A",IF(StudentData[[#This Row],[Marks]]&gt;=65,"B",IF(StudentData[[#This Row],[Marks]]&gt;=50,"C","F")))</f>
        <v>A</v>
      </c>
    </row>
    <row r="50" spans="1:8" x14ac:dyDescent="0.3">
      <c r="A50" s="1">
        <v>1049</v>
      </c>
      <c r="B50" t="s">
        <v>42</v>
      </c>
      <c r="C50" t="s">
        <v>14</v>
      </c>
      <c r="D50">
        <v>1</v>
      </c>
      <c r="E50">
        <v>80</v>
      </c>
      <c r="F50">
        <v>73</v>
      </c>
      <c r="G50" t="s">
        <v>12</v>
      </c>
      <c r="H50" t="str">
        <f>IF(StudentData[[#This Row],[Marks]]&gt;=80,"A",IF(StudentData[[#This Row],[Marks]]&gt;=65,"B",IF(StudentData[[#This Row],[Marks]]&gt;=50,"C","F")))</f>
        <v>A</v>
      </c>
    </row>
    <row r="51" spans="1:8" x14ac:dyDescent="0.3">
      <c r="A51" s="1">
        <v>1050</v>
      </c>
      <c r="B51" t="s">
        <v>56</v>
      </c>
      <c r="C51" t="s">
        <v>21</v>
      </c>
      <c r="D51">
        <v>6</v>
      </c>
      <c r="E51">
        <v>80</v>
      </c>
      <c r="F51">
        <v>74</v>
      </c>
      <c r="G51" t="s">
        <v>9</v>
      </c>
      <c r="H51" t="str">
        <f>IF(StudentData[[#This Row],[Marks]]&gt;=80,"A",IF(StudentData[[#This Row],[Marks]]&gt;=65,"B",IF(StudentData[[#This Row],[Marks]]&gt;=50,"C","F")))</f>
        <v>A</v>
      </c>
    </row>
    <row r="52" spans="1:8" x14ac:dyDescent="0.3">
      <c r="A52" s="1">
        <v>1051</v>
      </c>
      <c r="B52" t="s">
        <v>18</v>
      </c>
      <c r="C52" t="s">
        <v>8</v>
      </c>
      <c r="D52">
        <v>4</v>
      </c>
      <c r="E52">
        <v>92</v>
      </c>
      <c r="F52">
        <v>89</v>
      </c>
      <c r="G52" t="s">
        <v>9</v>
      </c>
      <c r="H52" t="str">
        <f>IF(StudentData[[#This Row],[Marks]]&gt;=80,"A",IF(StudentData[[#This Row],[Marks]]&gt;=65,"B",IF(StudentData[[#This Row],[Marks]]&gt;=50,"C","F")))</f>
        <v>A</v>
      </c>
    </row>
    <row r="53" spans="1:8" x14ac:dyDescent="0.3">
      <c r="A53" s="1">
        <v>1052</v>
      </c>
      <c r="B53" t="s">
        <v>57</v>
      </c>
      <c r="C53" t="s">
        <v>8</v>
      </c>
      <c r="D53">
        <v>1</v>
      </c>
      <c r="E53">
        <v>97</v>
      </c>
      <c r="F53">
        <v>100</v>
      </c>
      <c r="G53" t="s">
        <v>12</v>
      </c>
      <c r="H53" t="str">
        <f>IF(StudentData[[#This Row],[Marks]]&gt;=80,"A",IF(StudentData[[#This Row],[Marks]]&gt;=65,"B",IF(StudentData[[#This Row],[Marks]]&gt;=50,"C","F")))</f>
        <v>A</v>
      </c>
    </row>
    <row r="54" spans="1:8" x14ac:dyDescent="0.3">
      <c r="A54" s="1">
        <v>1053</v>
      </c>
      <c r="B54" t="s">
        <v>58</v>
      </c>
      <c r="C54" t="s">
        <v>17</v>
      </c>
      <c r="D54">
        <v>1</v>
      </c>
      <c r="E54">
        <v>95</v>
      </c>
      <c r="F54">
        <v>92</v>
      </c>
      <c r="G54" t="s">
        <v>9</v>
      </c>
      <c r="H54" t="str">
        <f>IF(StudentData[[#This Row],[Marks]]&gt;=80,"A",IF(StudentData[[#This Row],[Marks]]&gt;=65,"B",IF(StudentData[[#This Row],[Marks]]&gt;=50,"C","F")))</f>
        <v>A</v>
      </c>
    </row>
    <row r="55" spans="1:8" x14ac:dyDescent="0.3">
      <c r="A55" s="1">
        <v>1054</v>
      </c>
      <c r="B55" t="s">
        <v>59</v>
      </c>
      <c r="C55" t="s">
        <v>21</v>
      </c>
      <c r="D55">
        <v>4</v>
      </c>
      <c r="E55">
        <v>79</v>
      </c>
      <c r="F55">
        <v>93</v>
      </c>
      <c r="G55" t="s">
        <v>9</v>
      </c>
      <c r="H55" t="str">
        <f>IF(StudentData[[#This Row],[Marks]]&gt;=80,"A",IF(StudentData[[#This Row],[Marks]]&gt;=65,"B",IF(StudentData[[#This Row],[Marks]]&gt;=50,"C","F")))</f>
        <v>B</v>
      </c>
    </row>
    <row r="56" spans="1:8" x14ac:dyDescent="0.3">
      <c r="A56" s="1">
        <v>1055</v>
      </c>
      <c r="B56" t="s">
        <v>60</v>
      </c>
      <c r="C56" t="s">
        <v>11</v>
      </c>
      <c r="D56">
        <v>8</v>
      </c>
      <c r="E56">
        <v>84</v>
      </c>
      <c r="F56">
        <v>76</v>
      </c>
      <c r="G56" t="s">
        <v>12</v>
      </c>
      <c r="H56" t="str">
        <f>IF(StudentData[[#This Row],[Marks]]&gt;=80,"A",IF(StudentData[[#This Row],[Marks]]&gt;=65,"B",IF(StudentData[[#This Row],[Marks]]&gt;=50,"C","F")))</f>
        <v>A</v>
      </c>
    </row>
    <row r="57" spans="1:8" x14ac:dyDescent="0.3">
      <c r="A57" s="1">
        <v>1056</v>
      </c>
      <c r="B57" t="s">
        <v>61</v>
      </c>
      <c r="C57" t="s">
        <v>11</v>
      </c>
      <c r="D57">
        <v>3</v>
      </c>
      <c r="E57">
        <v>92</v>
      </c>
      <c r="F57">
        <v>88</v>
      </c>
      <c r="G57" t="s">
        <v>9</v>
      </c>
      <c r="H57" t="str">
        <f>IF(StudentData[[#This Row],[Marks]]&gt;=80,"A",IF(StudentData[[#This Row],[Marks]]&gt;=65,"B",IF(StudentData[[#This Row],[Marks]]&gt;=50,"C","F")))</f>
        <v>A</v>
      </c>
    </row>
    <row r="58" spans="1:8" x14ac:dyDescent="0.3">
      <c r="A58" s="1">
        <v>1057</v>
      </c>
      <c r="B58" t="s">
        <v>62</v>
      </c>
      <c r="C58" t="s">
        <v>8</v>
      </c>
      <c r="D58">
        <v>4</v>
      </c>
      <c r="E58">
        <v>67</v>
      </c>
      <c r="F58">
        <v>69</v>
      </c>
      <c r="G58" t="s">
        <v>9</v>
      </c>
      <c r="H58" t="str">
        <f>IF(StudentData[[#This Row],[Marks]]&gt;=80,"A",IF(StudentData[[#This Row],[Marks]]&gt;=65,"B",IF(StudentData[[#This Row],[Marks]]&gt;=50,"C","F")))</f>
        <v>B</v>
      </c>
    </row>
    <row r="59" spans="1:8" x14ac:dyDescent="0.3">
      <c r="A59" s="1">
        <v>1058</v>
      </c>
      <c r="B59" t="s">
        <v>32</v>
      </c>
      <c r="C59" t="s">
        <v>17</v>
      </c>
      <c r="D59">
        <v>6</v>
      </c>
      <c r="E59">
        <v>62</v>
      </c>
      <c r="F59">
        <v>65</v>
      </c>
      <c r="G59" t="s">
        <v>12</v>
      </c>
      <c r="H59" t="str">
        <f>IF(StudentData[[#This Row],[Marks]]&gt;=80,"A",IF(StudentData[[#This Row],[Marks]]&gt;=65,"B",IF(StudentData[[#This Row],[Marks]]&gt;=50,"C","F")))</f>
        <v>C</v>
      </c>
    </row>
    <row r="60" spans="1:8" x14ac:dyDescent="0.3">
      <c r="A60" s="1">
        <v>1059</v>
      </c>
      <c r="B60" t="s">
        <v>63</v>
      </c>
      <c r="C60" t="s">
        <v>21</v>
      </c>
      <c r="D60">
        <v>8</v>
      </c>
      <c r="E60">
        <v>87</v>
      </c>
      <c r="F60">
        <v>93</v>
      </c>
      <c r="G60" t="s">
        <v>12</v>
      </c>
      <c r="H60" t="str">
        <f>IF(StudentData[[#This Row],[Marks]]&gt;=80,"A",IF(StudentData[[#This Row],[Marks]]&gt;=65,"B",IF(StudentData[[#This Row],[Marks]]&gt;=50,"C","F")))</f>
        <v>A</v>
      </c>
    </row>
    <row r="61" spans="1:8" x14ac:dyDescent="0.3">
      <c r="A61" s="1">
        <v>1060</v>
      </c>
      <c r="B61" t="s">
        <v>64</v>
      </c>
      <c r="C61" t="s">
        <v>14</v>
      </c>
      <c r="D61">
        <v>4</v>
      </c>
      <c r="E61">
        <v>74</v>
      </c>
      <c r="F61">
        <v>87</v>
      </c>
      <c r="G61" t="s">
        <v>9</v>
      </c>
      <c r="H61" t="str">
        <f>IF(StudentData[[#This Row],[Marks]]&gt;=80,"A",IF(StudentData[[#This Row],[Marks]]&gt;=65,"B",IF(StudentData[[#This Row],[Marks]]&gt;=50,"C","F")))</f>
        <v>B</v>
      </c>
    </row>
    <row r="62" spans="1:8" x14ac:dyDescent="0.3">
      <c r="A62" s="1">
        <v>1061</v>
      </c>
      <c r="B62" t="s">
        <v>65</v>
      </c>
      <c r="C62" t="s">
        <v>11</v>
      </c>
      <c r="D62">
        <v>3</v>
      </c>
      <c r="E62">
        <v>48</v>
      </c>
      <c r="F62">
        <v>62</v>
      </c>
      <c r="G62" t="s">
        <v>12</v>
      </c>
      <c r="H62" t="str">
        <f>IF(StudentData[[#This Row],[Marks]]&gt;=80,"A",IF(StudentData[[#This Row],[Marks]]&gt;=65,"B",IF(StudentData[[#This Row],[Marks]]&gt;=50,"C","F")))</f>
        <v>F</v>
      </c>
    </row>
    <row r="63" spans="1:8" x14ac:dyDescent="0.3">
      <c r="A63" s="1">
        <v>1062</v>
      </c>
      <c r="B63" t="s">
        <v>66</v>
      </c>
      <c r="C63" t="s">
        <v>17</v>
      </c>
      <c r="D63">
        <v>6</v>
      </c>
      <c r="E63">
        <v>95</v>
      </c>
      <c r="F63">
        <v>100</v>
      </c>
      <c r="G63" t="s">
        <v>9</v>
      </c>
      <c r="H63" t="str">
        <f>IF(StudentData[[#This Row],[Marks]]&gt;=80,"A",IF(StudentData[[#This Row],[Marks]]&gt;=65,"B",IF(StudentData[[#This Row],[Marks]]&gt;=50,"C","F")))</f>
        <v>A</v>
      </c>
    </row>
    <row r="64" spans="1:8" x14ac:dyDescent="0.3">
      <c r="A64" s="1">
        <v>1063</v>
      </c>
      <c r="B64" t="s">
        <v>64</v>
      </c>
      <c r="C64" t="s">
        <v>11</v>
      </c>
      <c r="D64">
        <v>7</v>
      </c>
      <c r="E64">
        <v>70</v>
      </c>
      <c r="F64">
        <v>84</v>
      </c>
      <c r="G64" t="s">
        <v>9</v>
      </c>
      <c r="H64" t="str">
        <f>IF(StudentData[[#This Row],[Marks]]&gt;=80,"A",IF(StudentData[[#This Row],[Marks]]&gt;=65,"B",IF(StudentData[[#This Row],[Marks]]&gt;=50,"C","F")))</f>
        <v>B</v>
      </c>
    </row>
    <row r="65" spans="1:8" x14ac:dyDescent="0.3">
      <c r="A65" s="1">
        <v>1064</v>
      </c>
      <c r="B65" t="s">
        <v>24</v>
      </c>
      <c r="C65" t="s">
        <v>14</v>
      </c>
      <c r="D65">
        <v>7</v>
      </c>
      <c r="E65">
        <v>89</v>
      </c>
      <c r="F65">
        <v>87</v>
      </c>
      <c r="G65" t="s">
        <v>12</v>
      </c>
      <c r="H65" t="str">
        <f>IF(StudentData[[#This Row],[Marks]]&gt;=80,"A",IF(StudentData[[#This Row],[Marks]]&gt;=65,"B",IF(StudentData[[#This Row],[Marks]]&gt;=50,"C","F")))</f>
        <v>A</v>
      </c>
    </row>
    <row r="66" spans="1:8" x14ac:dyDescent="0.3">
      <c r="A66" s="1">
        <v>1065</v>
      </c>
      <c r="B66" t="s">
        <v>67</v>
      </c>
      <c r="C66" t="s">
        <v>8</v>
      </c>
      <c r="D66">
        <v>8</v>
      </c>
      <c r="E66">
        <v>87</v>
      </c>
      <c r="F66">
        <v>83</v>
      </c>
      <c r="G66" t="s">
        <v>9</v>
      </c>
      <c r="H66" t="str">
        <f>IF(StudentData[[#This Row],[Marks]]&gt;=80,"A",IF(StudentData[[#This Row],[Marks]]&gt;=65,"B",IF(StudentData[[#This Row],[Marks]]&gt;=50,"C","F")))</f>
        <v>A</v>
      </c>
    </row>
    <row r="67" spans="1:8" x14ac:dyDescent="0.3">
      <c r="A67" s="1">
        <v>1066</v>
      </c>
      <c r="B67" t="s">
        <v>68</v>
      </c>
      <c r="C67" t="s">
        <v>8</v>
      </c>
      <c r="D67">
        <v>2</v>
      </c>
      <c r="E67">
        <v>92</v>
      </c>
      <c r="F67">
        <v>92</v>
      </c>
      <c r="G67" t="s">
        <v>12</v>
      </c>
      <c r="H67" t="str">
        <f>IF(StudentData[[#This Row],[Marks]]&gt;=80,"A",IF(StudentData[[#This Row],[Marks]]&gt;=65,"B",IF(StudentData[[#This Row],[Marks]]&gt;=50,"C","F")))</f>
        <v>A</v>
      </c>
    </row>
    <row r="68" spans="1:8" x14ac:dyDescent="0.3">
      <c r="A68" s="1">
        <v>1067</v>
      </c>
      <c r="B68" t="s">
        <v>69</v>
      </c>
      <c r="C68" t="s">
        <v>11</v>
      </c>
      <c r="D68">
        <v>7</v>
      </c>
      <c r="E68">
        <v>94</v>
      </c>
      <c r="F68">
        <v>93</v>
      </c>
      <c r="G68" t="s">
        <v>12</v>
      </c>
      <c r="H68" t="str">
        <f>IF(StudentData[[#This Row],[Marks]]&gt;=80,"A",IF(StudentData[[#This Row],[Marks]]&gt;=65,"B",IF(StudentData[[#This Row],[Marks]]&gt;=50,"C","F")))</f>
        <v>A</v>
      </c>
    </row>
    <row r="69" spans="1:8" x14ac:dyDescent="0.3">
      <c r="A69" s="1">
        <v>1068</v>
      </c>
      <c r="B69" t="s">
        <v>70</v>
      </c>
      <c r="C69" t="s">
        <v>14</v>
      </c>
      <c r="D69">
        <v>4</v>
      </c>
      <c r="E69">
        <v>75</v>
      </c>
      <c r="F69">
        <v>74</v>
      </c>
      <c r="G69" t="s">
        <v>9</v>
      </c>
      <c r="H69" t="str">
        <f>IF(StudentData[[#This Row],[Marks]]&gt;=80,"A",IF(StudentData[[#This Row],[Marks]]&gt;=65,"B",IF(StudentData[[#This Row],[Marks]]&gt;=50,"C","F")))</f>
        <v>B</v>
      </c>
    </row>
    <row r="70" spans="1:8" x14ac:dyDescent="0.3">
      <c r="A70" s="1">
        <v>1069</v>
      </c>
      <c r="B70" t="s">
        <v>71</v>
      </c>
      <c r="C70" t="s">
        <v>14</v>
      </c>
      <c r="D70">
        <v>6</v>
      </c>
      <c r="E70">
        <v>89</v>
      </c>
      <c r="F70">
        <v>92</v>
      </c>
      <c r="G70" t="s">
        <v>12</v>
      </c>
      <c r="H70" t="str">
        <f>IF(StudentData[[#This Row],[Marks]]&gt;=80,"A",IF(StudentData[[#This Row],[Marks]]&gt;=65,"B",IF(StudentData[[#This Row],[Marks]]&gt;=50,"C","F")))</f>
        <v>A</v>
      </c>
    </row>
    <row r="71" spans="1:8" x14ac:dyDescent="0.3">
      <c r="A71" s="1">
        <v>1070</v>
      </c>
      <c r="B71" t="s">
        <v>70</v>
      </c>
      <c r="C71" t="s">
        <v>8</v>
      </c>
      <c r="D71">
        <v>8</v>
      </c>
      <c r="E71">
        <v>91</v>
      </c>
      <c r="F71">
        <v>91</v>
      </c>
      <c r="G71" t="s">
        <v>9</v>
      </c>
      <c r="H71" t="str">
        <f>IF(StudentData[[#This Row],[Marks]]&gt;=80,"A",IF(StudentData[[#This Row],[Marks]]&gt;=65,"B",IF(StudentData[[#This Row],[Marks]]&gt;=50,"C","F")))</f>
        <v>A</v>
      </c>
    </row>
    <row r="72" spans="1:8" x14ac:dyDescent="0.3">
      <c r="A72" s="1">
        <v>1071</v>
      </c>
      <c r="B72" t="s">
        <v>33</v>
      </c>
      <c r="C72" t="s">
        <v>17</v>
      </c>
      <c r="D72">
        <v>3</v>
      </c>
      <c r="E72">
        <v>90</v>
      </c>
      <c r="F72">
        <v>85</v>
      </c>
      <c r="G72" t="s">
        <v>9</v>
      </c>
      <c r="H72" t="str">
        <f>IF(StudentData[[#This Row],[Marks]]&gt;=80,"A",IF(StudentData[[#This Row],[Marks]]&gt;=65,"B",IF(StudentData[[#This Row],[Marks]]&gt;=50,"C","F")))</f>
        <v>A</v>
      </c>
    </row>
    <row r="73" spans="1:8" x14ac:dyDescent="0.3">
      <c r="A73" s="1">
        <v>1072</v>
      </c>
      <c r="B73" t="s">
        <v>68</v>
      </c>
      <c r="C73" t="s">
        <v>14</v>
      </c>
      <c r="D73">
        <v>3</v>
      </c>
      <c r="E73">
        <v>75</v>
      </c>
      <c r="F73">
        <v>76</v>
      </c>
      <c r="G73" t="s">
        <v>12</v>
      </c>
      <c r="H73" t="str">
        <f>IF(StudentData[[#This Row],[Marks]]&gt;=80,"A",IF(StudentData[[#This Row],[Marks]]&gt;=65,"B",IF(StudentData[[#This Row],[Marks]]&gt;=50,"C","F")))</f>
        <v>B</v>
      </c>
    </row>
    <row r="74" spans="1:8" x14ac:dyDescent="0.3">
      <c r="A74" s="1">
        <v>1073</v>
      </c>
      <c r="B74" t="s">
        <v>72</v>
      </c>
      <c r="C74" t="s">
        <v>11</v>
      </c>
      <c r="D74">
        <v>8</v>
      </c>
      <c r="E74">
        <v>68</v>
      </c>
      <c r="F74">
        <v>83</v>
      </c>
      <c r="G74" t="s">
        <v>12</v>
      </c>
      <c r="H74" t="str">
        <f>IF(StudentData[[#This Row],[Marks]]&gt;=80,"A",IF(StudentData[[#This Row],[Marks]]&gt;=65,"B",IF(StudentData[[#This Row],[Marks]]&gt;=50,"C","F")))</f>
        <v>B</v>
      </c>
    </row>
    <row r="75" spans="1:8" x14ac:dyDescent="0.3">
      <c r="A75" s="1">
        <v>1074</v>
      </c>
      <c r="B75" t="s">
        <v>73</v>
      </c>
      <c r="C75" t="s">
        <v>17</v>
      </c>
      <c r="D75">
        <v>2</v>
      </c>
      <c r="E75">
        <v>94</v>
      </c>
      <c r="F75">
        <v>98</v>
      </c>
      <c r="G75" t="s">
        <v>12</v>
      </c>
      <c r="H75" t="str">
        <f>IF(StudentData[[#This Row],[Marks]]&gt;=80,"A",IF(StudentData[[#This Row],[Marks]]&gt;=65,"B",IF(StudentData[[#This Row],[Marks]]&gt;=50,"C","F")))</f>
        <v>A</v>
      </c>
    </row>
    <row r="76" spans="1:8" x14ac:dyDescent="0.3">
      <c r="A76" s="1">
        <v>1075</v>
      </c>
      <c r="B76" t="s">
        <v>74</v>
      </c>
      <c r="C76" t="s">
        <v>14</v>
      </c>
      <c r="D76">
        <v>5</v>
      </c>
      <c r="E76">
        <v>100</v>
      </c>
      <c r="F76">
        <v>98</v>
      </c>
      <c r="G76" t="s">
        <v>9</v>
      </c>
      <c r="H76" t="str">
        <f>IF(StudentData[[#This Row],[Marks]]&gt;=80,"A",IF(StudentData[[#This Row],[Marks]]&gt;=65,"B",IF(StudentData[[#This Row],[Marks]]&gt;=50,"C","F")))</f>
        <v>A</v>
      </c>
    </row>
    <row r="77" spans="1:8" x14ac:dyDescent="0.3">
      <c r="A77" s="1">
        <v>1076</v>
      </c>
      <c r="B77" t="s">
        <v>75</v>
      </c>
      <c r="C77" t="s">
        <v>11</v>
      </c>
      <c r="D77">
        <v>7</v>
      </c>
      <c r="E77">
        <v>69</v>
      </c>
      <c r="F77">
        <v>76</v>
      </c>
      <c r="G77" t="s">
        <v>9</v>
      </c>
      <c r="H77" t="str">
        <f>IF(StudentData[[#This Row],[Marks]]&gt;=80,"A",IF(StudentData[[#This Row],[Marks]]&gt;=65,"B",IF(StudentData[[#This Row],[Marks]]&gt;=50,"C","F")))</f>
        <v>B</v>
      </c>
    </row>
    <row r="78" spans="1:8" x14ac:dyDescent="0.3">
      <c r="A78" s="1">
        <v>1077</v>
      </c>
      <c r="B78" t="s">
        <v>76</v>
      </c>
      <c r="C78" t="s">
        <v>21</v>
      </c>
      <c r="D78">
        <v>1</v>
      </c>
      <c r="E78">
        <v>91</v>
      </c>
      <c r="F78">
        <v>96</v>
      </c>
      <c r="G78" t="s">
        <v>12</v>
      </c>
      <c r="H78" t="str">
        <f>IF(StudentData[[#This Row],[Marks]]&gt;=80,"A",IF(StudentData[[#This Row],[Marks]]&gt;=65,"B",IF(StudentData[[#This Row],[Marks]]&gt;=50,"C","F")))</f>
        <v>A</v>
      </c>
    </row>
    <row r="79" spans="1:8" x14ac:dyDescent="0.3">
      <c r="A79" s="1">
        <v>1078</v>
      </c>
      <c r="B79" t="s">
        <v>77</v>
      </c>
      <c r="C79" t="s">
        <v>14</v>
      </c>
      <c r="D79">
        <v>7</v>
      </c>
      <c r="E79">
        <v>75</v>
      </c>
      <c r="F79">
        <v>74</v>
      </c>
      <c r="G79" t="s">
        <v>12</v>
      </c>
      <c r="H79" t="str">
        <f>IF(StudentData[[#This Row],[Marks]]&gt;=80,"A",IF(StudentData[[#This Row],[Marks]]&gt;=65,"B",IF(StudentData[[#This Row],[Marks]]&gt;=50,"C","F")))</f>
        <v>B</v>
      </c>
    </row>
    <row r="80" spans="1:8" x14ac:dyDescent="0.3">
      <c r="A80" s="1">
        <v>1079</v>
      </c>
      <c r="B80" t="s">
        <v>78</v>
      </c>
      <c r="C80" t="s">
        <v>14</v>
      </c>
      <c r="D80">
        <v>7</v>
      </c>
      <c r="E80">
        <v>65</v>
      </c>
      <c r="F80">
        <v>70</v>
      </c>
      <c r="G80" t="s">
        <v>12</v>
      </c>
      <c r="H80" t="str">
        <f>IF(StudentData[[#This Row],[Marks]]&gt;=80,"A",IF(StudentData[[#This Row],[Marks]]&gt;=65,"B",IF(StudentData[[#This Row],[Marks]]&gt;=50,"C","F")))</f>
        <v>B</v>
      </c>
    </row>
    <row r="81" spans="1:8" x14ac:dyDescent="0.3">
      <c r="A81" s="1">
        <v>1080</v>
      </c>
      <c r="B81" t="s">
        <v>79</v>
      </c>
      <c r="C81" t="s">
        <v>14</v>
      </c>
      <c r="D81">
        <v>2</v>
      </c>
      <c r="E81">
        <v>56</v>
      </c>
      <c r="F81">
        <v>65</v>
      </c>
      <c r="G81" t="s">
        <v>12</v>
      </c>
      <c r="H81" t="str">
        <f>IF(StudentData[[#This Row],[Marks]]&gt;=80,"A",IF(StudentData[[#This Row],[Marks]]&gt;=65,"B",IF(StudentData[[#This Row],[Marks]]&gt;=50,"C","F")))</f>
        <v>C</v>
      </c>
    </row>
    <row r="82" spans="1:8" x14ac:dyDescent="0.3">
      <c r="A82" s="1">
        <v>1081</v>
      </c>
      <c r="B82" t="s">
        <v>37</v>
      </c>
      <c r="C82" t="s">
        <v>17</v>
      </c>
      <c r="D82">
        <v>8</v>
      </c>
      <c r="E82">
        <v>53</v>
      </c>
      <c r="F82">
        <v>62</v>
      </c>
      <c r="G82" t="s">
        <v>12</v>
      </c>
      <c r="H82" t="str">
        <f>IF(StudentData[[#This Row],[Marks]]&gt;=80,"A",IF(StudentData[[#This Row],[Marks]]&gt;=65,"B",IF(StudentData[[#This Row],[Marks]]&gt;=50,"C","F")))</f>
        <v>C</v>
      </c>
    </row>
    <row r="83" spans="1:8" x14ac:dyDescent="0.3">
      <c r="A83" s="1">
        <v>1082</v>
      </c>
      <c r="B83" t="s">
        <v>80</v>
      </c>
      <c r="C83" t="s">
        <v>17</v>
      </c>
      <c r="D83">
        <v>3</v>
      </c>
      <c r="E83">
        <v>76</v>
      </c>
      <c r="F83">
        <v>78</v>
      </c>
      <c r="G83" t="s">
        <v>12</v>
      </c>
      <c r="H83" t="str">
        <f>IF(StudentData[[#This Row],[Marks]]&gt;=80,"A",IF(StudentData[[#This Row],[Marks]]&gt;=65,"B",IF(StudentData[[#This Row],[Marks]]&gt;=50,"C","F")))</f>
        <v>B</v>
      </c>
    </row>
    <row r="84" spans="1:8" x14ac:dyDescent="0.3">
      <c r="A84" s="1">
        <v>1083</v>
      </c>
      <c r="B84" t="s">
        <v>81</v>
      </c>
      <c r="C84" t="s">
        <v>11</v>
      </c>
      <c r="D84">
        <v>1</v>
      </c>
      <c r="E84">
        <v>100</v>
      </c>
      <c r="F84">
        <v>92</v>
      </c>
      <c r="G84" t="s">
        <v>12</v>
      </c>
      <c r="H84" t="str">
        <f>IF(StudentData[[#This Row],[Marks]]&gt;=80,"A",IF(StudentData[[#This Row],[Marks]]&gt;=65,"B",IF(StudentData[[#This Row],[Marks]]&gt;=50,"C","F")))</f>
        <v>A</v>
      </c>
    </row>
    <row r="85" spans="1:8" x14ac:dyDescent="0.3">
      <c r="A85" s="1">
        <v>1084</v>
      </c>
      <c r="B85" t="s">
        <v>28</v>
      </c>
      <c r="C85" t="s">
        <v>11</v>
      </c>
      <c r="D85">
        <v>1</v>
      </c>
      <c r="E85">
        <v>67</v>
      </c>
      <c r="F85">
        <v>77</v>
      </c>
      <c r="G85" t="s">
        <v>12</v>
      </c>
      <c r="H85" t="str">
        <f>IF(StudentData[[#This Row],[Marks]]&gt;=80,"A",IF(StudentData[[#This Row],[Marks]]&gt;=65,"B",IF(StudentData[[#This Row],[Marks]]&gt;=50,"C","F")))</f>
        <v>B</v>
      </c>
    </row>
    <row r="86" spans="1:8" x14ac:dyDescent="0.3">
      <c r="A86" s="1">
        <v>1085</v>
      </c>
      <c r="B86" t="s">
        <v>82</v>
      </c>
      <c r="C86" t="s">
        <v>8</v>
      </c>
      <c r="D86">
        <v>2</v>
      </c>
      <c r="E86">
        <v>59</v>
      </c>
      <c r="F86">
        <v>65</v>
      </c>
      <c r="G86" t="s">
        <v>12</v>
      </c>
      <c r="H86" t="str">
        <f>IF(StudentData[[#This Row],[Marks]]&gt;=80,"A",IF(StudentData[[#This Row],[Marks]]&gt;=65,"B",IF(StudentData[[#This Row],[Marks]]&gt;=50,"C","F")))</f>
        <v>C</v>
      </c>
    </row>
    <row r="87" spans="1:8" x14ac:dyDescent="0.3">
      <c r="A87" s="1">
        <v>1086</v>
      </c>
      <c r="B87" t="s">
        <v>83</v>
      </c>
      <c r="C87" t="s">
        <v>11</v>
      </c>
      <c r="D87">
        <v>1</v>
      </c>
      <c r="E87">
        <v>75</v>
      </c>
      <c r="F87">
        <v>68</v>
      </c>
      <c r="G87" t="s">
        <v>12</v>
      </c>
      <c r="H87" t="str">
        <f>IF(StudentData[[#This Row],[Marks]]&gt;=80,"A",IF(StudentData[[#This Row],[Marks]]&gt;=65,"B",IF(StudentData[[#This Row],[Marks]]&gt;=50,"C","F")))</f>
        <v>B</v>
      </c>
    </row>
    <row r="88" spans="1:8" x14ac:dyDescent="0.3">
      <c r="A88" s="1">
        <v>1087</v>
      </c>
      <c r="B88" t="s">
        <v>84</v>
      </c>
      <c r="C88" t="s">
        <v>8</v>
      </c>
      <c r="D88">
        <v>3</v>
      </c>
      <c r="E88">
        <v>99</v>
      </c>
      <c r="F88">
        <v>98</v>
      </c>
      <c r="G88" t="s">
        <v>9</v>
      </c>
      <c r="H88" t="str">
        <f>IF(StudentData[[#This Row],[Marks]]&gt;=80,"A",IF(StudentData[[#This Row],[Marks]]&gt;=65,"B",IF(StudentData[[#This Row],[Marks]]&gt;=50,"C","F")))</f>
        <v>A</v>
      </c>
    </row>
    <row r="89" spans="1:8" x14ac:dyDescent="0.3">
      <c r="A89" s="1">
        <v>1088</v>
      </c>
      <c r="B89" t="s">
        <v>20</v>
      </c>
      <c r="C89" t="s">
        <v>11</v>
      </c>
      <c r="D89">
        <v>7</v>
      </c>
      <c r="E89">
        <v>75</v>
      </c>
      <c r="F89">
        <v>75</v>
      </c>
      <c r="G89" t="s">
        <v>9</v>
      </c>
      <c r="H89" t="str">
        <f>IF(StudentData[[#This Row],[Marks]]&gt;=80,"A",IF(StudentData[[#This Row],[Marks]]&gt;=65,"B",IF(StudentData[[#This Row],[Marks]]&gt;=50,"C","F")))</f>
        <v>B</v>
      </c>
    </row>
    <row r="90" spans="1:8" x14ac:dyDescent="0.3">
      <c r="A90" s="1">
        <v>1089</v>
      </c>
      <c r="B90" t="s">
        <v>84</v>
      </c>
      <c r="C90" t="s">
        <v>8</v>
      </c>
      <c r="D90">
        <v>6</v>
      </c>
      <c r="E90">
        <v>93</v>
      </c>
      <c r="F90">
        <v>96</v>
      </c>
      <c r="G90" t="s">
        <v>9</v>
      </c>
      <c r="H90" t="str">
        <f>IF(StudentData[[#This Row],[Marks]]&gt;=80,"A",IF(StudentData[[#This Row],[Marks]]&gt;=65,"B",IF(StudentData[[#This Row],[Marks]]&gt;=50,"C","F")))</f>
        <v>A</v>
      </c>
    </row>
    <row r="91" spans="1:8" x14ac:dyDescent="0.3">
      <c r="A91" s="1">
        <v>1090</v>
      </c>
      <c r="B91" t="s">
        <v>85</v>
      </c>
      <c r="C91" t="s">
        <v>8</v>
      </c>
      <c r="D91">
        <v>8</v>
      </c>
      <c r="E91">
        <v>90</v>
      </c>
      <c r="F91">
        <v>84</v>
      </c>
      <c r="G91" t="s">
        <v>12</v>
      </c>
      <c r="H91" t="str">
        <f>IF(StudentData[[#This Row],[Marks]]&gt;=80,"A",IF(StudentData[[#This Row],[Marks]]&gt;=65,"B",IF(StudentData[[#This Row],[Marks]]&gt;=50,"C","F")))</f>
        <v>A</v>
      </c>
    </row>
    <row r="92" spans="1:8" x14ac:dyDescent="0.3">
      <c r="A92" s="1">
        <v>1091</v>
      </c>
      <c r="B92" t="s">
        <v>86</v>
      </c>
      <c r="C92" t="s">
        <v>14</v>
      </c>
      <c r="D92">
        <v>6</v>
      </c>
      <c r="E92">
        <v>73</v>
      </c>
      <c r="F92">
        <v>85</v>
      </c>
      <c r="G92" t="s">
        <v>9</v>
      </c>
      <c r="H92" t="str">
        <f>IF(StudentData[[#This Row],[Marks]]&gt;=80,"A",IF(StudentData[[#This Row],[Marks]]&gt;=65,"B",IF(StudentData[[#This Row],[Marks]]&gt;=50,"C","F")))</f>
        <v>B</v>
      </c>
    </row>
    <row r="93" spans="1:8" x14ac:dyDescent="0.3">
      <c r="A93" s="1">
        <v>1092</v>
      </c>
      <c r="B93" t="s">
        <v>87</v>
      </c>
      <c r="C93" t="s">
        <v>21</v>
      </c>
      <c r="D93">
        <v>6</v>
      </c>
      <c r="E93">
        <v>84</v>
      </c>
      <c r="F93">
        <v>82</v>
      </c>
      <c r="G93" t="s">
        <v>9</v>
      </c>
      <c r="H93" t="str">
        <f>IF(StudentData[[#This Row],[Marks]]&gt;=80,"A",IF(StudentData[[#This Row],[Marks]]&gt;=65,"B",IF(StudentData[[#This Row],[Marks]]&gt;=50,"C","F")))</f>
        <v>A</v>
      </c>
    </row>
    <row r="94" spans="1:8" x14ac:dyDescent="0.3">
      <c r="A94" s="1">
        <v>1093</v>
      </c>
      <c r="B94" t="s">
        <v>88</v>
      </c>
      <c r="C94" t="s">
        <v>21</v>
      </c>
      <c r="D94">
        <v>8</v>
      </c>
      <c r="E94">
        <v>75</v>
      </c>
      <c r="F94">
        <v>76</v>
      </c>
      <c r="G94" t="s">
        <v>9</v>
      </c>
      <c r="H94" t="str">
        <f>IF(StudentData[[#This Row],[Marks]]&gt;=80,"A",IF(StudentData[[#This Row],[Marks]]&gt;=65,"B",IF(StudentData[[#This Row],[Marks]]&gt;=50,"C","F")))</f>
        <v>B</v>
      </c>
    </row>
    <row r="95" spans="1:8" x14ac:dyDescent="0.3">
      <c r="A95" s="1">
        <v>1094</v>
      </c>
      <c r="B95" t="s">
        <v>89</v>
      </c>
      <c r="C95" t="s">
        <v>14</v>
      </c>
      <c r="D95">
        <v>4</v>
      </c>
      <c r="E95">
        <v>52</v>
      </c>
      <c r="F95">
        <v>66</v>
      </c>
      <c r="G95" t="s">
        <v>9</v>
      </c>
      <c r="H95" t="str">
        <f>IF(StudentData[[#This Row],[Marks]]&gt;=80,"A",IF(StudentData[[#This Row],[Marks]]&gt;=65,"B",IF(StudentData[[#This Row],[Marks]]&gt;=50,"C","F")))</f>
        <v>C</v>
      </c>
    </row>
    <row r="96" spans="1:8" x14ac:dyDescent="0.3">
      <c r="A96" s="1">
        <v>1095</v>
      </c>
      <c r="B96" t="s">
        <v>73</v>
      </c>
      <c r="C96" t="s">
        <v>11</v>
      </c>
      <c r="D96">
        <v>6</v>
      </c>
      <c r="E96">
        <v>66</v>
      </c>
      <c r="F96">
        <v>63</v>
      </c>
      <c r="G96" t="s">
        <v>12</v>
      </c>
      <c r="H96" t="str">
        <f>IF(StudentData[[#This Row],[Marks]]&gt;=80,"A",IF(StudentData[[#This Row],[Marks]]&gt;=65,"B",IF(StudentData[[#This Row],[Marks]]&gt;=50,"C","F")))</f>
        <v>B</v>
      </c>
    </row>
    <row r="97" spans="1:8" x14ac:dyDescent="0.3">
      <c r="A97" s="1">
        <v>1096</v>
      </c>
      <c r="B97" t="s">
        <v>61</v>
      </c>
      <c r="C97" t="s">
        <v>14</v>
      </c>
      <c r="D97">
        <v>5</v>
      </c>
      <c r="E97">
        <v>94</v>
      </c>
      <c r="F97">
        <v>99</v>
      </c>
      <c r="G97" t="s">
        <v>9</v>
      </c>
      <c r="H97" t="str">
        <f>IF(StudentData[[#This Row],[Marks]]&gt;=80,"A",IF(StudentData[[#This Row],[Marks]]&gt;=65,"B",IF(StudentData[[#This Row],[Marks]]&gt;=50,"C","F")))</f>
        <v>A</v>
      </c>
    </row>
    <row r="98" spans="1:8" x14ac:dyDescent="0.3">
      <c r="A98" s="1">
        <v>1097</v>
      </c>
      <c r="B98" t="s">
        <v>90</v>
      </c>
      <c r="C98" t="s">
        <v>8</v>
      </c>
      <c r="D98">
        <v>8</v>
      </c>
      <c r="E98">
        <v>98</v>
      </c>
      <c r="F98">
        <v>93</v>
      </c>
      <c r="G98" t="s">
        <v>9</v>
      </c>
      <c r="H98" t="str">
        <f>IF(StudentData[[#This Row],[Marks]]&gt;=80,"A",IF(StudentData[[#This Row],[Marks]]&gt;=65,"B",IF(StudentData[[#This Row],[Marks]]&gt;=50,"C","F")))</f>
        <v>A</v>
      </c>
    </row>
    <row r="99" spans="1:8" x14ac:dyDescent="0.3">
      <c r="A99" s="1">
        <v>1098</v>
      </c>
      <c r="B99" t="s">
        <v>91</v>
      </c>
      <c r="C99" t="s">
        <v>8</v>
      </c>
      <c r="D99">
        <v>3</v>
      </c>
      <c r="E99">
        <v>61</v>
      </c>
      <c r="F99">
        <v>76</v>
      </c>
      <c r="G99" t="s">
        <v>9</v>
      </c>
      <c r="H99" t="str">
        <f>IF(StudentData[[#This Row],[Marks]]&gt;=80,"A",IF(StudentData[[#This Row],[Marks]]&gt;=65,"B",IF(StudentData[[#This Row],[Marks]]&gt;=50,"C","F")))</f>
        <v>C</v>
      </c>
    </row>
    <row r="100" spans="1:8" x14ac:dyDescent="0.3">
      <c r="A100" s="1">
        <v>1099</v>
      </c>
      <c r="B100" t="s">
        <v>92</v>
      </c>
      <c r="C100" t="s">
        <v>8</v>
      </c>
      <c r="D100">
        <v>8</v>
      </c>
      <c r="E100">
        <v>93</v>
      </c>
      <c r="F100">
        <v>92</v>
      </c>
      <c r="G100" t="s">
        <v>9</v>
      </c>
      <c r="H100" t="str">
        <f>IF(StudentData[[#This Row],[Marks]]&gt;=80,"A",IF(StudentData[[#This Row],[Marks]]&gt;=65,"B",IF(StudentData[[#This Row],[Marks]]&gt;=50,"C","F")))</f>
        <v>A</v>
      </c>
    </row>
    <row r="101" spans="1:8" x14ac:dyDescent="0.3">
      <c r="A101" s="1">
        <v>1100</v>
      </c>
      <c r="B101" t="s">
        <v>85</v>
      </c>
      <c r="C101" t="s">
        <v>17</v>
      </c>
      <c r="D101">
        <v>7</v>
      </c>
      <c r="E101">
        <v>65</v>
      </c>
      <c r="F101">
        <v>68</v>
      </c>
      <c r="G101" t="s">
        <v>12</v>
      </c>
      <c r="H101" t="str">
        <f>IF(StudentData[[#This Row],[Marks]]&gt;=80,"A",IF(StudentData[[#This Row],[Marks]]&gt;=65,"B",IF(StudentData[[#This Row],[Marks]]&gt;=50,"C","F")))</f>
        <v>B</v>
      </c>
    </row>
    <row r="102" spans="1:8" x14ac:dyDescent="0.3">
      <c r="A102" s="1">
        <v>1101</v>
      </c>
      <c r="B102" t="s">
        <v>93</v>
      </c>
      <c r="C102" t="s">
        <v>21</v>
      </c>
      <c r="D102">
        <v>3</v>
      </c>
      <c r="E102">
        <v>90</v>
      </c>
      <c r="F102">
        <v>82</v>
      </c>
      <c r="G102" t="s">
        <v>9</v>
      </c>
      <c r="H102" t="str">
        <f>IF(StudentData[[#This Row],[Marks]]&gt;=80,"A",IF(StudentData[[#This Row],[Marks]]&gt;=65,"B",IF(StudentData[[#This Row],[Marks]]&gt;=50,"C","F")))</f>
        <v>A</v>
      </c>
    </row>
    <row r="103" spans="1:8" x14ac:dyDescent="0.3">
      <c r="A103" s="1">
        <v>1102</v>
      </c>
      <c r="B103" t="s">
        <v>50</v>
      </c>
      <c r="C103" t="s">
        <v>8</v>
      </c>
      <c r="D103">
        <v>1</v>
      </c>
      <c r="E103">
        <v>83</v>
      </c>
      <c r="F103">
        <v>93</v>
      </c>
      <c r="G103" t="s">
        <v>12</v>
      </c>
      <c r="H103" t="str">
        <f>IF(StudentData[[#This Row],[Marks]]&gt;=80,"A",IF(StudentData[[#This Row],[Marks]]&gt;=65,"B",IF(StudentData[[#This Row],[Marks]]&gt;=50,"C","F")))</f>
        <v>A</v>
      </c>
    </row>
    <row r="104" spans="1:8" x14ac:dyDescent="0.3">
      <c r="A104" s="1">
        <v>1103</v>
      </c>
      <c r="B104" t="s">
        <v>30</v>
      </c>
      <c r="C104" t="s">
        <v>17</v>
      </c>
      <c r="D104">
        <v>2</v>
      </c>
      <c r="E104">
        <v>81</v>
      </c>
      <c r="F104">
        <v>74</v>
      </c>
      <c r="G104" t="s">
        <v>12</v>
      </c>
      <c r="H104" t="str">
        <f>IF(StudentData[[#This Row],[Marks]]&gt;=80,"A",IF(StudentData[[#This Row],[Marks]]&gt;=65,"B",IF(StudentData[[#This Row],[Marks]]&gt;=50,"C","F")))</f>
        <v>A</v>
      </c>
    </row>
    <row r="105" spans="1:8" x14ac:dyDescent="0.3">
      <c r="A105" s="1">
        <v>1104</v>
      </c>
      <c r="B105" t="s">
        <v>37</v>
      </c>
      <c r="C105" t="s">
        <v>21</v>
      </c>
      <c r="D105">
        <v>5</v>
      </c>
      <c r="E105">
        <v>72</v>
      </c>
      <c r="F105">
        <v>77</v>
      </c>
      <c r="G105" t="s">
        <v>12</v>
      </c>
      <c r="H105" t="str">
        <f>IF(StudentData[[#This Row],[Marks]]&gt;=80,"A",IF(StudentData[[#This Row],[Marks]]&gt;=65,"B",IF(StudentData[[#This Row],[Marks]]&gt;=50,"C","F")))</f>
        <v>B</v>
      </c>
    </row>
    <row r="106" spans="1:8" x14ac:dyDescent="0.3">
      <c r="A106" s="1">
        <v>1105</v>
      </c>
      <c r="B106" t="s">
        <v>94</v>
      </c>
      <c r="C106" t="s">
        <v>21</v>
      </c>
      <c r="D106">
        <v>3</v>
      </c>
      <c r="E106">
        <v>85</v>
      </c>
      <c r="F106">
        <v>85</v>
      </c>
      <c r="G106" t="s">
        <v>9</v>
      </c>
      <c r="H106" t="str">
        <f>IF(StudentData[[#This Row],[Marks]]&gt;=80,"A",IF(StudentData[[#This Row],[Marks]]&gt;=65,"B",IF(StudentData[[#This Row],[Marks]]&gt;=50,"C","F")))</f>
        <v>A</v>
      </c>
    </row>
    <row r="107" spans="1:8" x14ac:dyDescent="0.3">
      <c r="A107" s="1">
        <v>1106</v>
      </c>
      <c r="B107" t="s">
        <v>95</v>
      </c>
      <c r="C107" t="s">
        <v>8</v>
      </c>
      <c r="D107">
        <v>4</v>
      </c>
      <c r="E107">
        <v>89</v>
      </c>
      <c r="F107">
        <v>81</v>
      </c>
      <c r="G107" t="s">
        <v>12</v>
      </c>
      <c r="H107" t="str">
        <f>IF(StudentData[[#This Row],[Marks]]&gt;=80,"A",IF(StudentData[[#This Row],[Marks]]&gt;=65,"B",IF(StudentData[[#This Row],[Marks]]&gt;=50,"C","F")))</f>
        <v>A</v>
      </c>
    </row>
    <row r="108" spans="1:8" x14ac:dyDescent="0.3">
      <c r="A108" s="1">
        <v>1107</v>
      </c>
      <c r="B108" t="s">
        <v>87</v>
      </c>
      <c r="C108" t="s">
        <v>8</v>
      </c>
      <c r="D108">
        <v>3</v>
      </c>
      <c r="E108">
        <v>78</v>
      </c>
      <c r="F108">
        <v>83</v>
      </c>
      <c r="G108" t="s">
        <v>9</v>
      </c>
      <c r="H108" t="str">
        <f>IF(StudentData[[#This Row],[Marks]]&gt;=80,"A",IF(StudentData[[#This Row],[Marks]]&gt;=65,"B",IF(StudentData[[#This Row],[Marks]]&gt;=50,"C","F")))</f>
        <v>B</v>
      </c>
    </row>
    <row r="109" spans="1:8" x14ac:dyDescent="0.3">
      <c r="A109" s="1">
        <v>1108</v>
      </c>
      <c r="B109" t="s">
        <v>67</v>
      </c>
      <c r="C109" t="s">
        <v>17</v>
      </c>
      <c r="D109">
        <v>5</v>
      </c>
      <c r="E109">
        <v>76</v>
      </c>
      <c r="F109">
        <v>73</v>
      </c>
      <c r="G109" t="s">
        <v>9</v>
      </c>
      <c r="H109" t="str">
        <f>IF(StudentData[[#This Row],[Marks]]&gt;=80,"A",IF(StudentData[[#This Row],[Marks]]&gt;=65,"B",IF(StudentData[[#This Row],[Marks]]&gt;=50,"C","F")))</f>
        <v>B</v>
      </c>
    </row>
    <row r="110" spans="1:8" x14ac:dyDescent="0.3">
      <c r="A110" s="1">
        <v>1109</v>
      </c>
      <c r="B110" t="s">
        <v>96</v>
      </c>
      <c r="C110" t="s">
        <v>14</v>
      </c>
      <c r="D110">
        <v>1</v>
      </c>
      <c r="E110">
        <v>63</v>
      </c>
      <c r="F110">
        <v>74</v>
      </c>
      <c r="G110" t="s">
        <v>9</v>
      </c>
      <c r="H110" t="str">
        <f>IF(StudentData[[#This Row],[Marks]]&gt;=80,"A",IF(StudentData[[#This Row],[Marks]]&gt;=65,"B",IF(StudentData[[#This Row],[Marks]]&gt;=50,"C","F")))</f>
        <v>C</v>
      </c>
    </row>
    <row r="111" spans="1:8" x14ac:dyDescent="0.3">
      <c r="A111" s="1">
        <v>1110</v>
      </c>
      <c r="B111" t="s">
        <v>97</v>
      </c>
      <c r="C111" t="s">
        <v>14</v>
      </c>
      <c r="D111">
        <v>8</v>
      </c>
      <c r="E111">
        <v>59</v>
      </c>
      <c r="F111">
        <v>65</v>
      </c>
      <c r="G111" t="s">
        <v>9</v>
      </c>
      <c r="H111" t="str">
        <f>IF(StudentData[[#This Row],[Marks]]&gt;=80,"A",IF(StudentData[[#This Row],[Marks]]&gt;=65,"B",IF(StudentData[[#This Row],[Marks]]&gt;=50,"C","F")))</f>
        <v>C</v>
      </c>
    </row>
    <row r="112" spans="1:8" x14ac:dyDescent="0.3">
      <c r="A112" s="1">
        <v>1111</v>
      </c>
      <c r="B112" t="s">
        <v>98</v>
      </c>
      <c r="C112" t="s">
        <v>14</v>
      </c>
      <c r="D112">
        <v>1</v>
      </c>
      <c r="E112">
        <v>72</v>
      </c>
      <c r="F112">
        <v>81</v>
      </c>
      <c r="G112" t="s">
        <v>12</v>
      </c>
      <c r="H112" t="str">
        <f>IF(StudentData[[#This Row],[Marks]]&gt;=80,"A",IF(StudentData[[#This Row],[Marks]]&gt;=65,"B",IF(StudentData[[#This Row],[Marks]]&gt;=50,"C","F")))</f>
        <v>B</v>
      </c>
    </row>
    <row r="113" spans="1:8" x14ac:dyDescent="0.3">
      <c r="A113" s="1">
        <v>1112</v>
      </c>
      <c r="B113" t="s">
        <v>26</v>
      </c>
      <c r="C113" t="s">
        <v>8</v>
      </c>
      <c r="D113">
        <v>3</v>
      </c>
      <c r="E113">
        <v>100</v>
      </c>
      <c r="F113">
        <v>99</v>
      </c>
      <c r="G113" t="s">
        <v>12</v>
      </c>
      <c r="H113" t="str">
        <f>IF(StudentData[[#This Row],[Marks]]&gt;=80,"A",IF(StudentData[[#This Row],[Marks]]&gt;=65,"B",IF(StudentData[[#This Row],[Marks]]&gt;=50,"C","F")))</f>
        <v>A</v>
      </c>
    </row>
    <row r="114" spans="1:8" x14ac:dyDescent="0.3">
      <c r="A114" s="1">
        <v>1113</v>
      </c>
      <c r="B114" t="s">
        <v>99</v>
      </c>
      <c r="C114" t="s">
        <v>14</v>
      </c>
      <c r="D114">
        <v>3</v>
      </c>
      <c r="E114">
        <v>91</v>
      </c>
      <c r="F114">
        <v>88</v>
      </c>
      <c r="G114" t="s">
        <v>12</v>
      </c>
      <c r="H114" t="str">
        <f>IF(StudentData[[#This Row],[Marks]]&gt;=80,"A",IF(StudentData[[#This Row],[Marks]]&gt;=65,"B",IF(StudentData[[#This Row],[Marks]]&gt;=50,"C","F")))</f>
        <v>A</v>
      </c>
    </row>
    <row r="115" spans="1:8" x14ac:dyDescent="0.3">
      <c r="A115" s="1">
        <v>1114</v>
      </c>
      <c r="B115" t="s">
        <v>10</v>
      </c>
      <c r="C115" t="s">
        <v>14</v>
      </c>
      <c r="D115">
        <v>7</v>
      </c>
      <c r="E115">
        <v>63</v>
      </c>
      <c r="F115">
        <v>71</v>
      </c>
      <c r="G115" t="s">
        <v>12</v>
      </c>
      <c r="H115" t="str">
        <f>IF(StudentData[[#This Row],[Marks]]&gt;=80,"A",IF(StudentData[[#This Row],[Marks]]&gt;=65,"B",IF(StudentData[[#This Row],[Marks]]&gt;=50,"C","F")))</f>
        <v>C</v>
      </c>
    </row>
    <row r="116" spans="1:8" x14ac:dyDescent="0.3">
      <c r="A116" s="1">
        <v>1115</v>
      </c>
      <c r="B116" t="s">
        <v>90</v>
      </c>
      <c r="C116" t="s">
        <v>11</v>
      </c>
      <c r="D116">
        <v>7</v>
      </c>
      <c r="E116">
        <v>49</v>
      </c>
      <c r="F116">
        <v>60</v>
      </c>
      <c r="G116" t="s">
        <v>9</v>
      </c>
      <c r="H116" t="str">
        <f>IF(StudentData[[#This Row],[Marks]]&gt;=80,"A",IF(StudentData[[#This Row],[Marks]]&gt;=65,"B",IF(StudentData[[#This Row],[Marks]]&gt;=50,"C","F")))</f>
        <v>F</v>
      </c>
    </row>
    <row r="117" spans="1:8" x14ac:dyDescent="0.3">
      <c r="A117" s="1">
        <v>1116</v>
      </c>
      <c r="B117" t="s">
        <v>29</v>
      </c>
      <c r="C117" t="s">
        <v>17</v>
      </c>
      <c r="D117">
        <v>3</v>
      </c>
      <c r="E117">
        <v>96</v>
      </c>
      <c r="F117">
        <v>92</v>
      </c>
      <c r="G117" t="s">
        <v>9</v>
      </c>
      <c r="H117" t="str">
        <f>IF(StudentData[[#This Row],[Marks]]&gt;=80,"A",IF(StudentData[[#This Row],[Marks]]&gt;=65,"B",IF(StudentData[[#This Row],[Marks]]&gt;=50,"C","F")))</f>
        <v>A</v>
      </c>
    </row>
    <row r="118" spans="1:8" x14ac:dyDescent="0.3">
      <c r="A118" s="1">
        <v>1117</v>
      </c>
      <c r="B118" t="s">
        <v>100</v>
      </c>
      <c r="C118" t="s">
        <v>8</v>
      </c>
      <c r="D118">
        <v>2</v>
      </c>
      <c r="E118">
        <v>74</v>
      </c>
      <c r="F118">
        <v>85</v>
      </c>
      <c r="G118" t="s">
        <v>9</v>
      </c>
      <c r="H118" t="str">
        <f>IF(StudentData[[#This Row],[Marks]]&gt;=80,"A",IF(StudentData[[#This Row],[Marks]]&gt;=65,"B",IF(StudentData[[#This Row],[Marks]]&gt;=50,"C","F")))</f>
        <v>B</v>
      </c>
    </row>
    <row r="119" spans="1:8" x14ac:dyDescent="0.3">
      <c r="A119" s="1">
        <v>1118</v>
      </c>
      <c r="B119" t="s">
        <v>101</v>
      </c>
      <c r="C119" t="s">
        <v>14</v>
      </c>
      <c r="D119">
        <v>5</v>
      </c>
      <c r="E119">
        <v>90</v>
      </c>
      <c r="F119">
        <v>85</v>
      </c>
      <c r="G119" t="s">
        <v>12</v>
      </c>
      <c r="H119" t="str">
        <f>IF(StudentData[[#This Row],[Marks]]&gt;=80,"A",IF(StudentData[[#This Row],[Marks]]&gt;=65,"B",IF(StudentData[[#This Row],[Marks]]&gt;=50,"C","F")))</f>
        <v>A</v>
      </c>
    </row>
    <row r="120" spans="1:8" x14ac:dyDescent="0.3">
      <c r="A120" s="1">
        <v>1119</v>
      </c>
      <c r="B120" t="s">
        <v>102</v>
      </c>
      <c r="C120" t="s">
        <v>14</v>
      </c>
      <c r="D120">
        <v>4</v>
      </c>
      <c r="E120">
        <v>92</v>
      </c>
      <c r="F120">
        <v>87</v>
      </c>
      <c r="G120" t="s">
        <v>9</v>
      </c>
      <c r="H120" t="str">
        <f>IF(StudentData[[#This Row],[Marks]]&gt;=80,"A",IF(StudentData[[#This Row],[Marks]]&gt;=65,"B",IF(StudentData[[#This Row],[Marks]]&gt;=50,"C","F")))</f>
        <v>A</v>
      </c>
    </row>
    <row r="121" spans="1:8" x14ac:dyDescent="0.3">
      <c r="A121" s="1">
        <v>1120</v>
      </c>
      <c r="B121" t="s">
        <v>103</v>
      </c>
      <c r="C121" t="s">
        <v>14</v>
      </c>
      <c r="D121">
        <v>3</v>
      </c>
      <c r="E121">
        <v>61</v>
      </c>
      <c r="F121">
        <v>76</v>
      </c>
      <c r="G121" t="s">
        <v>9</v>
      </c>
      <c r="H121" t="str">
        <f>IF(StudentData[[#This Row],[Marks]]&gt;=80,"A",IF(StudentData[[#This Row],[Marks]]&gt;=65,"B",IF(StudentData[[#This Row],[Marks]]&gt;=50,"C","F")))</f>
        <v>C</v>
      </c>
    </row>
    <row r="122" spans="1:8" x14ac:dyDescent="0.3">
      <c r="A122" s="1">
        <v>1121</v>
      </c>
      <c r="B122" t="s">
        <v>104</v>
      </c>
      <c r="C122" t="s">
        <v>14</v>
      </c>
      <c r="D122">
        <v>6</v>
      </c>
      <c r="E122">
        <v>100</v>
      </c>
      <c r="F122">
        <v>96</v>
      </c>
      <c r="G122" t="s">
        <v>12</v>
      </c>
      <c r="H122" t="str">
        <f>IF(StudentData[[#This Row],[Marks]]&gt;=80,"A",IF(StudentData[[#This Row],[Marks]]&gt;=65,"B",IF(StudentData[[#This Row],[Marks]]&gt;=50,"C","F")))</f>
        <v>A</v>
      </c>
    </row>
    <row r="123" spans="1:8" x14ac:dyDescent="0.3">
      <c r="A123" s="1">
        <v>1122</v>
      </c>
      <c r="B123" t="s">
        <v>105</v>
      </c>
      <c r="C123" t="s">
        <v>11</v>
      </c>
      <c r="D123">
        <v>5</v>
      </c>
      <c r="E123">
        <v>80</v>
      </c>
      <c r="F123">
        <v>82</v>
      </c>
      <c r="G123" t="s">
        <v>9</v>
      </c>
      <c r="H123" t="str">
        <f>IF(StudentData[[#This Row],[Marks]]&gt;=80,"A",IF(StudentData[[#This Row],[Marks]]&gt;=65,"B",IF(StudentData[[#This Row],[Marks]]&gt;=50,"C","F")))</f>
        <v>A</v>
      </c>
    </row>
    <row r="124" spans="1:8" x14ac:dyDescent="0.3">
      <c r="A124" s="1">
        <v>1123</v>
      </c>
      <c r="B124" t="s">
        <v>90</v>
      </c>
      <c r="C124" t="s">
        <v>14</v>
      </c>
      <c r="D124">
        <v>4</v>
      </c>
      <c r="E124">
        <v>67</v>
      </c>
      <c r="F124">
        <v>66</v>
      </c>
      <c r="G124" t="s">
        <v>9</v>
      </c>
      <c r="H124" t="str">
        <f>IF(StudentData[[#This Row],[Marks]]&gt;=80,"A",IF(StudentData[[#This Row],[Marks]]&gt;=65,"B",IF(StudentData[[#This Row],[Marks]]&gt;=50,"C","F")))</f>
        <v>B</v>
      </c>
    </row>
    <row r="125" spans="1:8" x14ac:dyDescent="0.3">
      <c r="A125" s="1">
        <v>1124</v>
      </c>
      <c r="B125" t="s">
        <v>106</v>
      </c>
      <c r="C125" t="s">
        <v>11</v>
      </c>
      <c r="D125">
        <v>2</v>
      </c>
      <c r="E125">
        <v>52</v>
      </c>
      <c r="F125">
        <v>60</v>
      </c>
      <c r="G125" t="s">
        <v>12</v>
      </c>
      <c r="H125" t="str">
        <f>IF(StudentData[[#This Row],[Marks]]&gt;=80,"A",IF(StudentData[[#This Row],[Marks]]&gt;=65,"B",IF(StudentData[[#This Row],[Marks]]&gt;=50,"C","F")))</f>
        <v>C</v>
      </c>
    </row>
    <row r="126" spans="1:8" x14ac:dyDescent="0.3">
      <c r="A126" s="1">
        <v>1125</v>
      </c>
      <c r="B126" t="s">
        <v>107</v>
      </c>
      <c r="C126" t="s">
        <v>14</v>
      </c>
      <c r="D126">
        <v>8</v>
      </c>
      <c r="E126">
        <v>83</v>
      </c>
      <c r="F126">
        <v>94</v>
      </c>
      <c r="G126" t="s">
        <v>9</v>
      </c>
      <c r="H126" t="str">
        <f>IF(StudentData[[#This Row],[Marks]]&gt;=80,"A",IF(StudentData[[#This Row],[Marks]]&gt;=65,"B",IF(StudentData[[#This Row],[Marks]]&gt;=50,"C","F")))</f>
        <v>A</v>
      </c>
    </row>
    <row r="127" spans="1:8" x14ac:dyDescent="0.3">
      <c r="A127" s="1">
        <v>1126</v>
      </c>
      <c r="B127" t="s">
        <v>78</v>
      </c>
      <c r="C127" t="s">
        <v>17</v>
      </c>
      <c r="D127">
        <v>7</v>
      </c>
      <c r="E127">
        <v>69</v>
      </c>
      <c r="F127">
        <v>78</v>
      </c>
      <c r="G127" t="s">
        <v>12</v>
      </c>
      <c r="H127" t="str">
        <f>IF(StudentData[[#This Row],[Marks]]&gt;=80,"A",IF(StudentData[[#This Row],[Marks]]&gt;=65,"B",IF(StudentData[[#This Row],[Marks]]&gt;=50,"C","F")))</f>
        <v>B</v>
      </c>
    </row>
    <row r="128" spans="1:8" x14ac:dyDescent="0.3">
      <c r="A128" s="1">
        <v>1127</v>
      </c>
      <c r="B128" t="s">
        <v>108</v>
      </c>
      <c r="C128" t="s">
        <v>11</v>
      </c>
      <c r="D128">
        <v>5</v>
      </c>
      <c r="E128">
        <v>79</v>
      </c>
      <c r="F128">
        <v>88</v>
      </c>
      <c r="G128" t="s">
        <v>9</v>
      </c>
      <c r="H128" t="str">
        <f>IF(StudentData[[#This Row],[Marks]]&gt;=80,"A",IF(StudentData[[#This Row],[Marks]]&gt;=65,"B",IF(StudentData[[#This Row],[Marks]]&gt;=50,"C","F")))</f>
        <v>B</v>
      </c>
    </row>
    <row r="129" spans="1:8" x14ac:dyDescent="0.3">
      <c r="A129" s="1">
        <v>1128</v>
      </c>
      <c r="B129" t="s">
        <v>65</v>
      </c>
      <c r="C129" t="s">
        <v>14</v>
      </c>
      <c r="D129">
        <v>6</v>
      </c>
      <c r="E129">
        <v>72</v>
      </c>
      <c r="F129">
        <v>85</v>
      </c>
      <c r="G129" t="s">
        <v>12</v>
      </c>
      <c r="H129" t="str">
        <f>IF(StudentData[[#This Row],[Marks]]&gt;=80,"A",IF(StudentData[[#This Row],[Marks]]&gt;=65,"B",IF(StudentData[[#This Row],[Marks]]&gt;=50,"C","F")))</f>
        <v>B</v>
      </c>
    </row>
    <row r="130" spans="1:8" x14ac:dyDescent="0.3">
      <c r="A130" s="1">
        <v>1129</v>
      </c>
      <c r="B130" t="s">
        <v>109</v>
      </c>
      <c r="C130" t="s">
        <v>11</v>
      </c>
      <c r="D130">
        <v>2</v>
      </c>
      <c r="E130">
        <v>94</v>
      </c>
      <c r="F130">
        <v>91</v>
      </c>
      <c r="G130" t="s">
        <v>9</v>
      </c>
      <c r="H130" t="str">
        <f>IF(StudentData[[#This Row],[Marks]]&gt;=80,"A",IF(StudentData[[#This Row],[Marks]]&gt;=65,"B",IF(StudentData[[#This Row],[Marks]]&gt;=50,"C","F")))</f>
        <v>A</v>
      </c>
    </row>
    <row r="131" spans="1:8" x14ac:dyDescent="0.3">
      <c r="A131" s="1">
        <v>1130</v>
      </c>
      <c r="B131" t="s">
        <v>110</v>
      </c>
      <c r="C131" t="s">
        <v>14</v>
      </c>
      <c r="D131">
        <v>6</v>
      </c>
      <c r="E131">
        <v>59</v>
      </c>
      <c r="F131">
        <v>63</v>
      </c>
      <c r="G131" t="s">
        <v>12</v>
      </c>
      <c r="H131" t="str">
        <f>IF(StudentData[[#This Row],[Marks]]&gt;=80,"A",IF(StudentData[[#This Row],[Marks]]&gt;=65,"B",IF(StudentData[[#This Row],[Marks]]&gt;=50,"C","F")))</f>
        <v>C</v>
      </c>
    </row>
    <row r="132" spans="1:8" x14ac:dyDescent="0.3">
      <c r="A132" s="1">
        <v>1131</v>
      </c>
      <c r="B132" t="s">
        <v>111</v>
      </c>
      <c r="C132" t="s">
        <v>21</v>
      </c>
      <c r="D132">
        <v>7</v>
      </c>
      <c r="E132">
        <v>60</v>
      </c>
      <c r="F132">
        <v>74</v>
      </c>
      <c r="G132" t="s">
        <v>9</v>
      </c>
      <c r="H132" t="str">
        <f>IF(StudentData[[#This Row],[Marks]]&gt;=80,"A",IF(StudentData[[#This Row],[Marks]]&gt;=65,"B",IF(StudentData[[#This Row],[Marks]]&gt;=50,"C","F")))</f>
        <v>C</v>
      </c>
    </row>
    <row r="133" spans="1:8" x14ac:dyDescent="0.3">
      <c r="A133" s="1">
        <v>1132</v>
      </c>
      <c r="B133" t="s">
        <v>112</v>
      </c>
      <c r="C133" t="s">
        <v>17</v>
      </c>
      <c r="D133">
        <v>2</v>
      </c>
      <c r="E133">
        <v>71</v>
      </c>
      <c r="F133">
        <v>65</v>
      </c>
      <c r="G133" t="s">
        <v>9</v>
      </c>
      <c r="H133" t="str">
        <f>IF(StudentData[[#This Row],[Marks]]&gt;=80,"A",IF(StudentData[[#This Row],[Marks]]&gt;=65,"B",IF(StudentData[[#This Row],[Marks]]&gt;=50,"C","F")))</f>
        <v>B</v>
      </c>
    </row>
    <row r="134" spans="1:8" x14ac:dyDescent="0.3">
      <c r="A134" s="1">
        <v>1133</v>
      </c>
      <c r="B134" t="s">
        <v>113</v>
      </c>
      <c r="C134" t="s">
        <v>8</v>
      </c>
      <c r="D134">
        <v>3</v>
      </c>
      <c r="E134">
        <v>68</v>
      </c>
      <c r="F134">
        <v>65</v>
      </c>
      <c r="G134" t="s">
        <v>12</v>
      </c>
      <c r="H134" t="str">
        <f>IF(StudentData[[#This Row],[Marks]]&gt;=80,"A",IF(StudentData[[#This Row],[Marks]]&gt;=65,"B",IF(StudentData[[#This Row],[Marks]]&gt;=50,"C","F")))</f>
        <v>B</v>
      </c>
    </row>
    <row r="135" spans="1:8" x14ac:dyDescent="0.3">
      <c r="A135" s="1">
        <v>1134</v>
      </c>
      <c r="B135" t="s">
        <v>68</v>
      </c>
      <c r="C135" t="s">
        <v>11</v>
      </c>
      <c r="D135">
        <v>6</v>
      </c>
      <c r="E135">
        <v>81</v>
      </c>
      <c r="F135">
        <v>87</v>
      </c>
      <c r="G135" t="s">
        <v>12</v>
      </c>
      <c r="H135" t="str">
        <f>IF(StudentData[[#This Row],[Marks]]&gt;=80,"A",IF(StudentData[[#This Row],[Marks]]&gt;=65,"B",IF(StudentData[[#This Row],[Marks]]&gt;=50,"C","F")))</f>
        <v>A</v>
      </c>
    </row>
    <row r="136" spans="1:8" x14ac:dyDescent="0.3">
      <c r="A136" s="1">
        <v>1135</v>
      </c>
      <c r="B136" t="s">
        <v>114</v>
      </c>
      <c r="C136" t="s">
        <v>14</v>
      </c>
      <c r="D136">
        <v>8</v>
      </c>
      <c r="E136">
        <v>69</v>
      </c>
      <c r="F136">
        <v>75</v>
      </c>
      <c r="G136" t="s">
        <v>12</v>
      </c>
      <c r="H136" t="str">
        <f>IF(StudentData[[#This Row],[Marks]]&gt;=80,"A",IF(StudentData[[#This Row],[Marks]]&gt;=65,"B",IF(StudentData[[#This Row],[Marks]]&gt;=50,"C","F")))</f>
        <v>B</v>
      </c>
    </row>
    <row r="137" spans="1:8" x14ac:dyDescent="0.3">
      <c r="A137" s="1">
        <v>1136</v>
      </c>
      <c r="B137" t="s">
        <v>115</v>
      </c>
      <c r="C137" t="s">
        <v>11</v>
      </c>
      <c r="D137">
        <v>6</v>
      </c>
      <c r="E137">
        <v>74</v>
      </c>
      <c r="F137">
        <v>89</v>
      </c>
      <c r="G137" t="s">
        <v>12</v>
      </c>
      <c r="H137" t="str">
        <f>IF(StudentData[[#This Row],[Marks]]&gt;=80,"A",IF(StudentData[[#This Row],[Marks]]&gt;=65,"B",IF(StudentData[[#This Row],[Marks]]&gt;=50,"C","F")))</f>
        <v>B</v>
      </c>
    </row>
    <row r="138" spans="1:8" x14ac:dyDescent="0.3">
      <c r="A138" s="1">
        <v>1137</v>
      </c>
      <c r="B138" t="s">
        <v>52</v>
      </c>
      <c r="C138" t="s">
        <v>17</v>
      </c>
      <c r="D138">
        <v>5</v>
      </c>
      <c r="E138">
        <v>67</v>
      </c>
      <c r="F138">
        <v>61</v>
      </c>
      <c r="G138" t="s">
        <v>12</v>
      </c>
      <c r="H138" t="str">
        <f>IF(StudentData[[#This Row],[Marks]]&gt;=80,"A",IF(StudentData[[#This Row],[Marks]]&gt;=65,"B",IF(StudentData[[#This Row],[Marks]]&gt;=50,"C","F")))</f>
        <v>B</v>
      </c>
    </row>
    <row r="139" spans="1:8" x14ac:dyDescent="0.3">
      <c r="A139" s="1">
        <v>1138</v>
      </c>
      <c r="B139" t="s">
        <v>116</v>
      </c>
      <c r="C139" t="s">
        <v>14</v>
      </c>
      <c r="D139">
        <v>5</v>
      </c>
      <c r="E139">
        <v>57</v>
      </c>
      <c r="F139">
        <v>67</v>
      </c>
      <c r="G139" t="s">
        <v>9</v>
      </c>
      <c r="H139" t="str">
        <f>IF(StudentData[[#This Row],[Marks]]&gt;=80,"A",IF(StudentData[[#This Row],[Marks]]&gt;=65,"B",IF(StudentData[[#This Row],[Marks]]&gt;=50,"C","F")))</f>
        <v>C</v>
      </c>
    </row>
    <row r="140" spans="1:8" x14ac:dyDescent="0.3">
      <c r="A140" s="1">
        <v>1139</v>
      </c>
      <c r="B140" t="s">
        <v>116</v>
      </c>
      <c r="C140" t="s">
        <v>21</v>
      </c>
      <c r="D140">
        <v>6</v>
      </c>
      <c r="E140">
        <v>61</v>
      </c>
      <c r="F140">
        <v>76</v>
      </c>
      <c r="G140" t="s">
        <v>9</v>
      </c>
      <c r="H140" t="str">
        <f>IF(StudentData[[#This Row],[Marks]]&gt;=80,"A",IF(StudentData[[#This Row],[Marks]]&gt;=65,"B",IF(StudentData[[#This Row],[Marks]]&gt;=50,"C","F")))</f>
        <v>C</v>
      </c>
    </row>
    <row r="141" spans="1:8" x14ac:dyDescent="0.3">
      <c r="A141" s="1">
        <v>1140</v>
      </c>
      <c r="B141" t="s">
        <v>56</v>
      </c>
      <c r="C141" t="s">
        <v>14</v>
      </c>
      <c r="D141">
        <v>5</v>
      </c>
      <c r="E141">
        <v>83</v>
      </c>
      <c r="F141">
        <v>84</v>
      </c>
      <c r="G141" t="s">
        <v>9</v>
      </c>
      <c r="H141" t="str">
        <f>IF(StudentData[[#This Row],[Marks]]&gt;=80,"A",IF(StudentData[[#This Row],[Marks]]&gt;=65,"B",IF(StudentData[[#This Row],[Marks]]&gt;=50,"C","F")))</f>
        <v>A</v>
      </c>
    </row>
    <row r="142" spans="1:8" x14ac:dyDescent="0.3">
      <c r="A142" s="1">
        <v>1141</v>
      </c>
      <c r="B142" t="s">
        <v>117</v>
      </c>
      <c r="C142" t="s">
        <v>17</v>
      </c>
      <c r="D142">
        <v>2</v>
      </c>
      <c r="E142">
        <v>79</v>
      </c>
      <c r="F142">
        <v>85</v>
      </c>
      <c r="G142" t="s">
        <v>9</v>
      </c>
      <c r="H142" t="str">
        <f>IF(StudentData[[#This Row],[Marks]]&gt;=80,"A",IF(StudentData[[#This Row],[Marks]]&gt;=65,"B",IF(StudentData[[#This Row],[Marks]]&gt;=50,"C","F")))</f>
        <v>B</v>
      </c>
    </row>
    <row r="143" spans="1:8" x14ac:dyDescent="0.3">
      <c r="A143" s="1">
        <v>1142</v>
      </c>
      <c r="B143" t="s">
        <v>118</v>
      </c>
      <c r="C143" t="s">
        <v>11</v>
      </c>
      <c r="D143">
        <v>5</v>
      </c>
      <c r="E143">
        <v>85</v>
      </c>
      <c r="F143">
        <v>83</v>
      </c>
      <c r="G143" t="s">
        <v>9</v>
      </c>
      <c r="H143" t="str">
        <f>IF(StudentData[[#This Row],[Marks]]&gt;=80,"A",IF(StudentData[[#This Row],[Marks]]&gt;=65,"B",IF(StudentData[[#This Row],[Marks]]&gt;=50,"C","F")))</f>
        <v>A</v>
      </c>
    </row>
    <row r="144" spans="1:8" x14ac:dyDescent="0.3">
      <c r="A144" s="1">
        <v>1143</v>
      </c>
      <c r="B144" t="s">
        <v>119</v>
      </c>
      <c r="C144" t="s">
        <v>14</v>
      </c>
      <c r="D144">
        <v>6</v>
      </c>
      <c r="E144">
        <v>54</v>
      </c>
      <c r="F144">
        <v>67</v>
      </c>
      <c r="G144" t="s">
        <v>9</v>
      </c>
      <c r="H144" t="str">
        <f>IF(StudentData[[#This Row],[Marks]]&gt;=80,"A",IF(StudentData[[#This Row],[Marks]]&gt;=65,"B",IF(StudentData[[#This Row],[Marks]]&gt;=50,"C","F")))</f>
        <v>C</v>
      </c>
    </row>
    <row r="145" spans="1:8" x14ac:dyDescent="0.3">
      <c r="A145" s="1">
        <v>1144</v>
      </c>
      <c r="B145" t="s">
        <v>18</v>
      </c>
      <c r="C145" t="s">
        <v>14</v>
      </c>
      <c r="D145">
        <v>8</v>
      </c>
      <c r="E145">
        <v>71</v>
      </c>
      <c r="F145">
        <v>80</v>
      </c>
      <c r="G145" t="s">
        <v>9</v>
      </c>
      <c r="H145" t="str">
        <f>IF(StudentData[[#This Row],[Marks]]&gt;=80,"A",IF(StudentData[[#This Row],[Marks]]&gt;=65,"B",IF(StudentData[[#This Row],[Marks]]&gt;=50,"C","F")))</f>
        <v>B</v>
      </c>
    </row>
    <row r="146" spans="1:8" x14ac:dyDescent="0.3">
      <c r="A146" s="1">
        <v>1145</v>
      </c>
      <c r="B146" t="s">
        <v>53</v>
      </c>
      <c r="C146" t="s">
        <v>14</v>
      </c>
      <c r="D146">
        <v>2</v>
      </c>
      <c r="E146">
        <v>82</v>
      </c>
      <c r="F146">
        <v>95</v>
      </c>
      <c r="G146" t="s">
        <v>12</v>
      </c>
      <c r="H146" t="str">
        <f>IF(StudentData[[#This Row],[Marks]]&gt;=80,"A",IF(StudentData[[#This Row],[Marks]]&gt;=65,"B",IF(StudentData[[#This Row],[Marks]]&gt;=50,"C","F")))</f>
        <v>A</v>
      </c>
    </row>
    <row r="147" spans="1:8" x14ac:dyDescent="0.3">
      <c r="A147" s="1">
        <v>1146</v>
      </c>
      <c r="B147" t="s">
        <v>120</v>
      </c>
      <c r="C147" t="s">
        <v>14</v>
      </c>
      <c r="D147">
        <v>8</v>
      </c>
      <c r="E147">
        <v>72</v>
      </c>
      <c r="F147">
        <v>68</v>
      </c>
      <c r="G147" t="s">
        <v>9</v>
      </c>
      <c r="H147" t="str">
        <f>IF(StudentData[[#This Row],[Marks]]&gt;=80,"A",IF(StudentData[[#This Row],[Marks]]&gt;=65,"B",IF(StudentData[[#This Row],[Marks]]&gt;=50,"C","F")))</f>
        <v>B</v>
      </c>
    </row>
    <row r="148" spans="1:8" x14ac:dyDescent="0.3">
      <c r="A148" s="1">
        <v>1147</v>
      </c>
      <c r="B148" t="s">
        <v>30</v>
      </c>
      <c r="C148" t="s">
        <v>17</v>
      </c>
      <c r="D148">
        <v>6</v>
      </c>
      <c r="E148">
        <v>74</v>
      </c>
      <c r="F148">
        <v>86</v>
      </c>
      <c r="G148" t="s">
        <v>12</v>
      </c>
      <c r="H148" t="str">
        <f>IF(StudentData[[#This Row],[Marks]]&gt;=80,"A",IF(StudentData[[#This Row],[Marks]]&gt;=65,"B",IF(StudentData[[#This Row],[Marks]]&gt;=50,"C","F")))</f>
        <v>B</v>
      </c>
    </row>
    <row r="149" spans="1:8" x14ac:dyDescent="0.3">
      <c r="A149" s="1">
        <v>1148</v>
      </c>
      <c r="B149" t="s">
        <v>40</v>
      </c>
      <c r="C149" t="s">
        <v>8</v>
      </c>
      <c r="D149">
        <v>4</v>
      </c>
      <c r="E149">
        <v>64</v>
      </c>
      <c r="F149">
        <v>64</v>
      </c>
      <c r="G149" t="s">
        <v>12</v>
      </c>
      <c r="H149" t="str">
        <f>IF(StudentData[[#This Row],[Marks]]&gt;=80,"A",IF(StudentData[[#This Row],[Marks]]&gt;=65,"B",IF(StudentData[[#This Row],[Marks]]&gt;=50,"C","F")))</f>
        <v>C</v>
      </c>
    </row>
    <row r="150" spans="1:8" x14ac:dyDescent="0.3">
      <c r="A150" s="1">
        <v>1149</v>
      </c>
      <c r="B150" t="s">
        <v>121</v>
      </c>
      <c r="C150" t="s">
        <v>11</v>
      </c>
      <c r="D150">
        <v>4</v>
      </c>
      <c r="E150">
        <v>85</v>
      </c>
      <c r="F150">
        <v>95</v>
      </c>
      <c r="G150" t="s">
        <v>12</v>
      </c>
      <c r="H150" t="str">
        <f>IF(StudentData[[#This Row],[Marks]]&gt;=80,"A",IF(StudentData[[#This Row],[Marks]]&gt;=65,"B",IF(StudentData[[#This Row],[Marks]]&gt;=50,"C","F")))</f>
        <v>A</v>
      </c>
    </row>
    <row r="151" spans="1:8" x14ac:dyDescent="0.3">
      <c r="A151" s="1">
        <v>1150</v>
      </c>
      <c r="B151" t="s">
        <v>61</v>
      </c>
      <c r="C151" t="s">
        <v>11</v>
      </c>
      <c r="D151">
        <v>3</v>
      </c>
      <c r="E151">
        <v>66</v>
      </c>
      <c r="F151">
        <v>65</v>
      </c>
      <c r="G151" t="s">
        <v>9</v>
      </c>
      <c r="H151" t="str">
        <f>IF(StudentData[[#This Row],[Marks]]&gt;=80,"A",IF(StudentData[[#This Row],[Marks]]&gt;=65,"B",IF(StudentData[[#This Row],[Marks]]&gt;=50,"C","F")))</f>
        <v>B</v>
      </c>
    </row>
    <row r="152" spans="1:8" x14ac:dyDescent="0.3">
      <c r="A152" s="1">
        <v>1151</v>
      </c>
      <c r="B152" t="s">
        <v>122</v>
      </c>
      <c r="C152" t="s">
        <v>8</v>
      </c>
      <c r="D152">
        <v>5</v>
      </c>
      <c r="E152">
        <v>81</v>
      </c>
      <c r="F152">
        <v>80</v>
      </c>
      <c r="G152" t="s">
        <v>12</v>
      </c>
      <c r="H152" t="str">
        <f>IF(StudentData[[#This Row],[Marks]]&gt;=80,"A",IF(StudentData[[#This Row],[Marks]]&gt;=65,"B",IF(StudentData[[#This Row],[Marks]]&gt;=50,"C","F")))</f>
        <v>A</v>
      </c>
    </row>
    <row r="153" spans="1:8" x14ac:dyDescent="0.3">
      <c r="A153" s="1">
        <v>1152</v>
      </c>
      <c r="B153" t="s">
        <v>47</v>
      </c>
      <c r="C153" t="s">
        <v>11</v>
      </c>
      <c r="D153">
        <v>7</v>
      </c>
      <c r="E153">
        <v>80</v>
      </c>
      <c r="F153">
        <v>77</v>
      </c>
      <c r="G153" t="s">
        <v>12</v>
      </c>
      <c r="H153" t="str">
        <f>IF(StudentData[[#This Row],[Marks]]&gt;=80,"A",IF(StudentData[[#This Row],[Marks]]&gt;=65,"B",IF(StudentData[[#This Row],[Marks]]&gt;=50,"C","F")))</f>
        <v>A</v>
      </c>
    </row>
    <row r="154" spans="1:8" x14ac:dyDescent="0.3">
      <c r="A154" s="1">
        <v>1153</v>
      </c>
      <c r="B154" t="s">
        <v>43</v>
      </c>
      <c r="C154" t="s">
        <v>11</v>
      </c>
      <c r="D154">
        <v>8</v>
      </c>
      <c r="E154">
        <v>72</v>
      </c>
      <c r="F154">
        <v>65</v>
      </c>
      <c r="G154" t="s">
        <v>9</v>
      </c>
      <c r="H154" t="str">
        <f>IF(StudentData[[#This Row],[Marks]]&gt;=80,"A",IF(StudentData[[#This Row],[Marks]]&gt;=65,"B",IF(StudentData[[#This Row],[Marks]]&gt;=50,"C","F")))</f>
        <v>B</v>
      </c>
    </row>
    <row r="155" spans="1:8" x14ac:dyDescent="0.3">
      <c r="A155" s="1">
        <v>1154</v>
      </c>
      <c r="B155" t="s">
        <v>123</v>
      </c>
      <c r="C155" t="s">
        <v>21</v>
      </c>
      <c r="D155">
        <v>3</v>
      </c>
      <c r="E155">
        <v>76</v>
      </c>
      <c r="F155">
        <v>90</v>
      </c>
      <c r="G155" t="s">
        <v>9</v>
      </c>
      <c r="H155" t="str">
        <f>IF(StudentData[[#This Row],[Marks]]&gt;=80,"A",IF(StudentData[[#This Row],[Marks]]&gt;=65,"B",IF(StudentData[[#This Row],[Marks]]&gt;=50,"C","F")))</f>
        <v>B</v>
      </c>
    </row>
    <row r="156" spans="1:8" x14ac:dyDescent="0.3">
      <c r="A156" s="1">
        <v>1155</v>
      </c>
      <c r="B156" t="s">
        <v>124</v>
      </c>
      <c r="C156" t="s">
        <v>8</v>
      </c>
      <c r="D156">
        <v>3</v>
      </c>
      <c r="E156">
        <v>100</v>
      </c>
      <c r="F156">
        <v>94</v>
      </c>
      <c r="G156" t="s">
        <v>9</v>
      </c>
      <c r="H156" t="str">
        <f>IF(StudentData[[#This Row],[Marks]]&gt;=80,"A",IF(StudentData[[#This Row],[Marks]]&gt;=65,"B",IF(StudentData[[#This Row],[Marks]]&gt;=50,"C","F")))</f>
        <v>A</v>
      </c>
    </row>
    <row r="157" spans="1:8" x14ac:dyDescent="0.3">
      <c r="A157" s="1">
        <v>1156</v>
      </c>
      <c r="B157" t="s">
        <v>122</v>
      </c>
      <c r="C157" t="s">
        <v>11</v>
      </c>
      <c r="D157">
        <v>7</v>
      </c>
      <c r="E157">
        <v>77</v>
      </c>
      <c r="F157">
        <v>92</v>
      </c>
      <c r="G157" t="s">
        <v>12</v>
      </c>
      <c r="H157" t="str">
        <f>IF(StudentData[[#This Row],[Marks]]&gt;=80,"A",IF(StudentData[[#This Row],[Marks]]&gt;=65,"B",IF(StudentData[[#This Row],[Marks]]&gt;=50,"C","F")))</f>
        <v>B</v>
      </c>
    </row>
    <row r="158" spans="1:8" x14ac:dyDescent="0.3">
      <c r="A158" s="1">
        <v>1157</v>
      </c>
      <c r="B158" t="s">
        <v>125</v>
      </c>
      <c r="C158" t="s">
        <v>8</v>
      </c>
      <c r="D158">
        <v>3</v>
      </c>
      <c r="E158">
        <v>99</v>
      </c>
      <c r="F158">
        <v>92</v>
      </c>
      <c r="G158" t="s">
        <v>12</v>
      </c>
      <c r="H158" t="str">
        <f>IF(StudentData[[#This Row],[Marks]]&gt;=80,"A",IF(StudentData[[#This Row],[Marks]]&gt;=65,"B",IF(StudentData[[#This Row],[Marks]]&gt;=50,"C","F")))</f>
        <v>A</v>
      </c>
    </row>
    <row r="159" spans="1:8" x14ac:dyDescent="0.3">
      <c r="A159" s="1">
        <v>1158</v>
      </c>
      <c r="B159" t="s">
        <v>126</v>
      </c>
      <c r="C159" t="s">
        <v>17</v>
      </c>
      <c r="D159">
        <v>4</v>
      </c>
      <c r="E159">
        <v>87</v>
      </c>
      <c r="F159">
        <v>97</v>
      </c>
      <c r="G159" t="s">
        <v>9</v>
      </c>
      <c r="H159" t="str">
        <f>IF(StudentData[[#This Row],[Marks]]&gt;=80,"A",IF(StudentData[[#This Row],[Marks]]&gt;=65,"B",IF(StudentData[[#This Row],[Marks]]&gt;=50,"C","F")))</f>
        <v>A</v>
      </c>
    </row>
    <row r="160" spans="1:8" x14ac:dyDescent="0.3">
      <c r="A160" s="1">
        <v>1159</v>
      </c>
      <c r="B160" t="s">
        <v>127</v>
      </c>
      <c r="C160" t="s">
        <v>8</v>
      </c>
      <c r="D160">
        <v>5</v>
      </c>
      <c r="E160">
        <v>82</v>
      </c>
      <c r="F160">
        <v>80</v>
      </c>
      <c r="G160" t="s">
        <v>9</v>
      </c>
      <c r="H160" t="str">
        <f>IF(StudentData[[#This Row],[Marks]]&gt;=80,"A",IF(StudentData[[#This Row],[Marks]]&gt;=65,"B",IF(StudentData[[#This Row],[Marks]]&gt;=50,"C","F")))</f>
        <v>A</v>
      </c>
    </row>
    <row r="161" spans="1:8" x14ac:dyDescent="0.3">
      <c r="A161" s="1">
        <v>1160</v>
      </c>
      <c r="B161" t="s">
        <v>40</v>
      </c>
      <c r="C161" t="s">
        <v>11</v>
      </c>
      <c r="D161">
        <v>5</v>
      </c>
      <c r="E161">
        <v>74</v>
      </c>
      <c r="F161">
        <v>83</v>
      </c>
      <c r="G161" t="s">
        <v>12</v>
      </c>
      <c r="H161" t="str">
        <f>IF(StudentData[[#This Row],[Marks]]&gt;=80,"A",IF(StudentData[[#This Row],[Marks]]&gt;=65,"B",IF(StudentData[[#This Row],[Marks]]&gt;=50,"C","F")))</f>
        <v>B</v>
      </c>
    </row>
    <row r="162" spans="1:8" x14ac:dyDescent="0.3">
      <c r="A162" s="1">
        <v>1161</v>
      </c>
      <c r="B162" t="s">
        <v>63</v>
      </c>
      <c r="C162" t="s">
        <v>17</v>
      </c>
      <c r="D162">
        <v>6</v>
      </c>
      <c r="E162">
        <v>98</v>
      </c>
      <c r="F162">
        <v>91</v>
      </c>
      <c r="G162" t="s">
        <v>12</v>
      </c>
      <c r="H162" t="str">
        <f>IF(StudentData[[#This Row],[Marks]]&gt;=80,"A",IF(StudentData[[#This Row],[Marks]]&gt;=65,"B",IF(StudentData[[#This Row],[Marks]]&gt;=50,"C","F")))</f>
        <v>A</v>
      </c>
    </row>
    <row r="163" spans="1:8" x14ac:dyDescent="0.3">
      <c r="A163" s="1">
        <v>1162</v>
      </c>
      <c r="B163" t="s">
        <v>39</v>
      </c>
      <c r="C163" t="s">
        <v>21</v>
      </c>
      <c r="D163">
        <v>3</v>
      </c>
      <c r="E163">
        <v>69</v>
      </c>
      <c r="F163">
        <v>67</v>
      </c>
      <c r="G163" t="s">
        <v>12</v>
      </c>
      <c r="H163" t="str">
        <f>IF(StudentData[[#This Row],[Marks]]&gt;=80,"A",IF(StudentData[[#This Row],[Marks]]&gt;=65,"B",IF(StudentData[[#This Row],[Marks]]&gt;=50,"C","F")))</f>
        <v>B</v>
      </c>
    </row>
    <row r="164" spans="1:8" x14ac:dyDescent="0.3">
      <c r="A164" s="1">
        <v>1163</v>
      </c>
      <c r="B164" t="s">
        <v>92</v>
      </c>
      <c r="C164" t="s">
        <v>17</v>
      </c>
      <c r="D164">
        <v>7</v>
      </c>
      <c r="E164">
        <v>68</v>
      </c>
      <c r="F164">
        <v>68</v>
      </c>
      <c r="G164" t="s">
        <v>9</v>
      </c>
      <c r="H164" t="str">
        <f>IF(StudentData[[#This Row],[Marks]]&gt;=80,"A",IF(StudentData[[#This Row],[Marks]]&gt;=65,"B",IF(StudentData[[#This Row],[Marks]]&gt;=50,"C","F")))</f>
        <v>B</v>
      </c>
    </row>
    <row r="165" spans="1:8" x14ac:dyDescent="0.3">
      <c r="A165" s="1">
        <v>1164</v>
      </c>
      <c r="B165" t="s">
        <v>78</v>
      </c>
      <c r="C165" t="s">
        <v>14</v>
      </c>
      <c r="D165">
        <v>5</v>
      </c>
      <c r="E165">
        <v>80</v>
      </c>
      <c r="F165">
        <v>74</v>
      </c>
      <c r="G165" t="s">
        <v>12</v>
      </c>
      <c r="H165" t="str">
        <f>IF(StudentData[[#This Row],[Marks]]&gt;=80,"A",IF(StudentData[[#This Row],[Marks]]&gt;=65,"B",IF(StudentData[[#This Row],[Marks]]&gt;=50,"C","F")))</f>
        <v>A</v>
      </c>
    </row>
    <row r="166" spans="1:8" x14ac:dyDescent="0.3">
      <c r="A166" s="1">
        <v>1165</v>
      </c>
      <c r="B166" t="s">
        <v>63</v>
      </c>
      <c r="C166" t="s">
        <v>11</v>
      </c>
      <c r="D166">
        <v>6</v>
      </c>
      <c r="E166">
        <v>94</v>
      </c>
      <c r="F166">
        <v>93</v>
      </c>
      <c r="G166" t="s">
        <v>12</v>
      </c>
      <c r="H166" t="str">
        <f>IF(StudentData[[#This Row],[Marks]]&gt;=80,"A",IF(StudentData[[#This Row],[Marks]]&gt;=65,"B",IF(StudentData[[#This Row],[Marks]]&gt;=50,"C","F")))</f>
        <v>A</v>
      </c>
    </row>
    <row r="167" spans="1:8" x14ac:dyDescent="0.3">
      <c r="A167" s="1">
        <v>1166</v>
      </c>
      <c r="B167" t="s">
        <v>128</v>
      </c>
      <c r="C167" t="s">
        <v>14</v>
      </c>
      <c r="D167">
        <v>2</v>
      </c>
      <c r="E167">
        <v>63</v>
      </c>
      <c r="F167">
        <v>64</v>
      </c>
      <c r="G167" t="s">
        <v>12</v>
      </c>
      <c r="H167" t="str">
        <f>IF(StudentData[[#This Row],[Marks]]&gt;=80,"A",IF(StudentData[[#This Row],[Marks]]&gt;=65,"B",IF(StudentData[[#This Row],[Marks]]&gt;=50,"C","F")))</f>
        <v>C</v>
      </c>
    </row>
    <row r="168" spans="1:8" x14ac:dyDescent="0.3">
      <c r="A168" s="1">
        <v>1167</v>
      </c>
      <c r="B168" t="s">
        <v>129</v>
      </c>
      <c r="C168" t="s">
        <v>21</v>
      </c>
      <c r="D168">
        <v>4</v>
      </c>
      <c r="E168">
        <v>54</v>
      </c>
      <c r="F168">
        <v>66</v>
      </c>
      <c r="G168" t="s">
        <v>12</v>
      </c>
      <c r="H168" t="str">
        <f>IF(StudentData[[#This Row],[Marks]]&gt;=80,"A",IF(StudentData[[#This Row],[Marks]]&gt;=65,"B",IF(StudentData[[#This Row],[Marks]]&gt;=50,"C","F")))</f>
        <v>C</v>
      </c>
    </row>
    <row r="169" spans="1:8" x14ac:dyDescent="0.3">
      <c r="A169" s="1">
        <v>1168</v>
      </c>
      <c r="B169" t="s">
        <v>47</v>
      </c>
      <c r="C169" t="s">
        <v>14</v>
      </c>
      <c r="D169">
        <v>4</v>
      </c>
      <c r="E169">
        <v>74</v>
      </c>
      <c r="F169">
        <v>68</v>
      </c>
      <c r="G169" t="s">
        <v>12</v>
      </c>
      <c r="H169" t="str">
        <f>IF(StudentData[[#This Row],[Marks]]&gt;=80,"A",IF(StudentData[[#This Row],[Marks]]&gt;=65,"B",IF(StudentData[[#This Row],[Marks]]&gt;=50,"C","F")))</f>
        <v>B</v>
      </c>
    </row>
    <row r="170" spans="1:8" x14ac:dyDescent="0.3">
      <c r="A170" s="1">
        <v>1169</v>
      </c>
      <c r="B170" t="s">
        <v>130</v>
      </c>
      <c r="C170" t="s">
        <v>17</v>
      </c>
      <c r="D170">
        <v>4</v>
      </c>
      <c r="E170">
        <v>99</v>
      </c>
      <c r="F170">
        <v>92</v>
      </c>
      <c r="G170" t="s">
        <v>9</v>
      </c>
      <c r="H170" t="str">
        <f>IF(StudentData[[#This Row],[Marks]]&gt;=80,"A",IF(StudentData[[#This Row],[Marks]]&gt;=65,"B",IF(StudentData[[#This Row],[Marks]]&gt;=50,"C","F")))</f>
        <v>A</v>
      </c>
    </row>
    <row r="171" spans="1:8" x14ac:dyDescent="0.3">
      <c r="A171" s="1">
        <v>1170</v>
      </c>
      <c r="B171" t="s">
        <v>91</v>
      </c>
      <c r="C171" t="s">
        <v>8</v>
      </c>
      <c r="D171">
        <v>6</v>
      </c>
      <c r="E171">
        <v>75</v>
      </c>
      <c r="F171">
        <v>80</v>
      </c>
      <c r="G171" t="s">
        <v>9</v>
      </c>
      <c r="H171" t="str">
        <f>IF(StudentData[[#This Row],[Marks]]&gt;=80,"A",IF(StudentData[[#This Row],[Marks]]&gt;=65,"B",IF(StudentData[[#This Row],[Marks]]&gt;=50,"C","F")))</f>
        <v>B</v>
      </c>
    </row>
    <row r="172" spans="1:8" x14ac:dyDescent="0.3">
      <c r="A172" s="1">
        <v>1171</v>
      </c>
      <c r="B172" t="s">
        <v>131</v>
      </c>
      <c r="C172" t="s">
        <v>21</v>
      </c>
      <c r="D172">
        <v>1</v>
      </c>
      <c r="E172">
        <v>75</v>
      </c>
      <c r="F172">
        <v>69</v>
      </c>
      <c r="G172" t="s">
        <v>9</v>
      </c>
      <c r="H172" t="str">
        <f>IF(StudentData[[#This Row],[Marks]]&gt;=80,"A",IF(StudentData[[#This Row],[Marks]]&gt;=65,"B",IF(StudentData[[#This Row],[Marks]]&gt;=50,"C","F")))</f>
        <v>B</v>
      </c>
    </row>
    <row r="173" spans="1:8" x14ac:dyDescent="0.3">
      <c r="A173" s="1">
        <v>1172</v>
      </c>
      <c r="B173" t="s">
        <v>132</v>
      </c>
      <c r="C173" t="s">
        <v>21</v>
      </c>
      <c r="D173">
        <v>2</v>
      </c>
      <c r="E173">
        <v>75</v>
      </c>
      <c r="F173">
        <v>73</v>
      </c>
      <c r="G173" t="s">
        <v>9</v>
      </c>
      <c r="H173" t="str">
        <f>IF(StudentData[[#This Row],[Marks]]&gt;=80,"A",IF(StudentData[[#This Row],[Marks]]&gt;=65,"B",IF(StudentData[[#This Row],[Marks]]&gt;=50,"C","F")))</f>
        <v>B</v>
      </c>
    </row>
    <row r="174" spans="1:8" x14ac:dyDescent="0.3">
      <c r="A174" s="1">
        <v>1173</v>
      </c>
      <c r="B174" t="s">
        <v>128</v>
      </c>
      <c r="C174" t="s">
        <v>21</v>
      </c>
      <c r="D174">
        <v>1</v>
      </c>
      <c r="E174">
        <v>64</v>
      </c>
      <c r="F174">
        <v>73</v>
      </c>
      <c r="G174" t="s">
        <v>12</v>
      </c>
      <c r="H174" t="str">
        <f>IF(StudentData[[#This Row],[Marks]]&gt;=80,"A",IF(StudentData[[#This Row],[Marks]]&gt;=65,"B",IF(StudentData[[#This Row],[Marks]]&gt;=50,"C","F")))</f>
        <v>C</v>
      </c>
    </row>
    <row r="175" spans="1:8" x14ac:dyDescent="0.3">
      <c r="A175" s="1">
        <v>1174</v>
      </c>
      <c r="B175" t="s">
        <v>55</v>
      </c>
      <c r="C175" t="s">
        <v>14</v>
      </c>
      <c r="D175">
        <v>4</v>
      </c>
      <c r="E175">
        <v>64</v>
      </c>
      <c r="F175">
        <v>60</v>
      </c>
      <c r="G175" t="s">
        <v>12</v>
      </c>
      <c r="H175" t="str">
        <f>IF(StudentData[[#This Row],[Marks]]&gt;=80,"A",IF(StudentData[[#This Row],[Marks]]&gt;=65,"B",IF(StudentData[[#This Row],[Marks]]&gt;=50,"C","F")))</f>
        <v>C</v>
      </c>
    </row>
    <row r="176" spans="1:8" x14ac:dyDescent="0.3">
      <c r="A176" s="1">
        <v>1175</v>
      </c>
      <c r="B176" t="s">
        <v>71</v>
      </c>
      <c r="C176" t="s">
        <v>11</v>
      </c>
      <c r="D176">
        <v>7</v>
      </c>
      <c r="E176">
        <v>80</v>
      </c>
      <c r="F176">
        <v>78</v>
      </c>
      <c r="G176" t="s">
        <v>12</v>
      </c>
      <c r="H176" t="str">
        <f>IF(StudentData[[#This Row],[Marks]]&gt;=80,"A",IF(StudentData[[#This Row],[Marks]]&gt;=65,"B",IF(StudentData[[#This Row],[Marks]]&gt;=50,"C","F")))</f>
        <v>A</v>
      </c>
    </row>
    <row r="177" spans="1:8" x14ac:dyDescent="0.3">
      <c r="A177" s="1">
        <v>1176</v>
      </c>
      <c r="B177" t="s">
        <v>133</v>
      </c>
      <c r="C177" t="s">
        <v>21</v>
      </c>
      <c r="D177">
        <v>2</v>
      </c>
      <c r="E177">
        <v>97</v>
      </c>
      <c r="F177">
        <v>100</v>
      </c>
      <c r="G177" t="s">
        <v>9</v>
      </c>
      <c r="H177" t="str">
        <f>IF(StudentData[[#This Row],[Marks]]&gt;=80,"A",IF(StudentData[[#This Row],[Marks]]&gt;=65,"B",IF(StudentData[[#This Row],[Marks]]&gt;=50,"C","F")))</f>
        <v>A</v>
      </c>
    </row>
    <row r="178" spans="1:8" x14ac:dyDescent="0.3">
      <c r="A178" s="1">
        <v>1177</v>
      </c>
      <c r="B178" t="s">
        <v>104</v>
      </c>
      <c r="C178" t="s">
        <v>14</v>
      </c>
      <c r="D178">
        <v>5</v>
      </c>
      <c r="E178">
        <v>83</v>
      </c>
      <c r="F178">
        <v>77</v>
      </c>
      <c r="G178" t="s">
        <v>12</v>
      </c>
      <c r="H178" t="str">
        <f>IF(StudentData[[#This Row],[Marks]]&gt;=80,"A",IF(StudentData[[#This Row],[Marks]]&gt;=65,"B",IF(StudentData[[#This Row],[Marks]]&gt;=50,"C","F")))</f>
        <v>A</v>
      </c>
    </row>
    <row r="179" spans="1:8" x14ac:dyDescent="0.3">
      <c r="A179" s="1">
        <v>1178</v>
      </c>
      <c r="B179" t="s">
        <v>134</v>
      </c>
      <c r="C179" t="s">
        <v>14</v>
      </c>
      <c r="D179">
        <v>4</v>
      </c>
      <c r="E179">
        <v>79</v>
      </c>
      <c r="F179">
        <v>94</v>
      </c>
      <c r="G179" t="s">
        <v>9</v>
      </c>
      <c r="H179" t="str">
        <f>IF(StudentData[[#This Row],[Marks]]&gt;=80,"A",IF(StudentData[[#This Row],[Marks]]&gt;=65,"B",IF(StudentData[[#This Row],[Marks]]&gt;=50,"C","F")))</f>
        <v>B</v>
      </c>
    </row>
    <row r="180" spans="1:8" x14ac:dyDescent="0.3">
      <c r="A180" s="1">
        <v>1179</v>
      </c>
      <c r="B180" t="s">
        <v>135</v>
      </c>
      <c r="C180" t="s">
        <v>8</v>
      </c>
      <c r="D180">
        <v>6</v>
      </c>
      <c r="E180">
        <v>60</v>
      </c>
      <c r="F180">
        <v>62</v>
      </c>
      <c r="G180" t="s">
        <v>9</v>
      </c>
      <c r="H180" t="str">
        <f>IF(StudentData[[#This Row],[Marks]]&gt;=80,"A",IF(StudentData[[#This Row],[Marks]]&gt;=65,"B",IF(StudentData[[#This Row],[Marks]]&gt;=50,"C","F")))</f>
        <v>C</v>
      </c>
    </row>
    <row r="181" spans="1:8" x14ac:dyDescent="0.3">
      <c r="A181" s="1">
        <v>1180</v>
      </c>
      <c r="B181" t="s">
        <v>136</v>
      </c>
      <c r="C181" t="s">
        <v>21</v>
      </c>
      <c r="D181">
        <v>2</v>
      </c>
      <c r="E181">
        <v>89</v>
      </c>
      <c r="F181">
        <v>87</v>
      </c>
      <c r="G181" t="s">
        <v>9</v>
      </c>
      <c r="H181" t="str">
        <f>IF(StudentData[[#This Row],[Marks]]&gt;=80,"A",IF(StudentData[[#This Row],[Marks]]&gt;=65,"B",IF(StudentData[[#This Row],[Marks]]&gt;=50,"C","F")))</f>
        <v>A</v>
      </c>
    </row>
    <row r="182" spans="1:8" x14ac:dyDescent="0.3">
      <c r="A182" s="1">
        <v>1181</v>
      </c>
      <c r="B182" t="s">
        <v>131</v>
      </c>
      <c r="C182" t="s">
        <v>11</v>
      </c>
      <c r="D182">
        <v>7</v>
      </c>
      <c r="E182">
        <v>82</v>
      </c>
      <c r="F182">
        <v>80</v>
      </c>
      <c r="G182" t="s">
        <v>9</v>
      </c>
      <c r="H182" t="str">
        <f>IF(StudentData[[#This Row],[Marks]]&gt;=80,"A",IF(StudentData[[#This Row],[Marks]]&gt;=65,"B",IF(StudentData[[#This Row],[Marks]]&gt;=50,"C","F")))</f>
        <v>A</v>
      </c>
    </row>
    <row r="183" spans="1:8" x14ac:dyDescent="0.3">
      <c r="A183" s="1">
        <v>1182</v>
      </c>
      <c r="B183" t="s">
        <v>137</v>
      </c>
      <c r="C183" t="s">
        <v>17</v>
      </c>
      <c r="D183">
        <v>4</v>
      </c>
      <c r="E183">
        <v>85</v>
      </c>
      <c r="F183">
        <v>84</v>
      </c>
      <c r="G183" t="s">
        <v>12</v>
      </c>
      <c r="H183" t="str">
        <f>IF(StudentData[[#This Row],[Marks]]&gt;=80,"A",IF(StudentData[[#This Row],[Marks]]&gt;=65,"B",IF(StudentData[[#This Row],[Marks]]&gt;=50,"C","F")))</f>
        <v>A</v>
      </c>
    </row>
    <row r="184" spans="1:8" x14ac:dyDescent="0.3">
      <c r="A184" s="1">
        <v>1183</v>
      </c>
      <c r="B184" t="s">
        <v>138</v>
      </c>
      <c r="C184" t="s">
        <v>21</v>
      </c>
      <c r="D184">
        <v>5</v>
      </c>
      <c r="E184">
        <v>89</v>
      </c>
      <c r="F184">
        <v>82</v>
      </c>
      <c r="G184" t="s">
        <v>12</v>
      </c>
      <c r="H184" t="str">
        <f>IF(StudentData[[#This Row],[Marks]]&gt;=80,"A",IF(StudentData[[#This Row],[Marks]]&gt;=65,"B",IF(StudentData[[#This Row],[Marks]]&gt;=50,"C","F")))</f>
        <v>A</v>
      </c>
    </row>
    <row r="185" spans="1:8" x14ac:dyDescent="0.3">
      <c r="A185" s="1">
        <v>1184</v>
      </c>
      <c r="B185" t="s">
        <v>43</v>
      </c>
      <c r="C185" t="s">
        <v>21</v>
      </c>
      <c r="D185">
        <v>6</v>
      </c>
      <c r="E185">
        <v>83</v>
      </c>
      <c r="F185">
        <v>96</v>
      </c>
      <c r="G185" t="s">
        <v>9</v>
      </c>
      <c r="H185" t="str">
        <f>IF(StudentData[[#This Row],[Marks]]&gt;=80,"A",IF(StudentData[[#This Row],[Marks]]&gt;=65,"B",IF(StudentData[[#This Row],[Marks]]&gt;=50,"C","F")))</f>
        <v>A</v>
      </c>
    </row>
    <row r="186" spans="1:8" x14ac:dyDescent="0.3">
      <c r="A186" s="1">
        <v>1185</v>
      </c>
      <c r="B186" t="s">
        <v>139</v>
      </c>
      <c r="C186" t="s">
        <v>8</v>
      </c>
      <c r="D186">
        <v>4</v>
      </c>
      <c r="E186">
        <v>77</v>
      </c>
      <c r="F186">
        <v>75</v>
      </c>
      <c r="G186" t="s">
        <v>12</v>
      </c>
      <c r="H186" t="str">
        <f>IF(StudentData[[#This Row],[Marks]]&gt;=80,"A",IF(StudentData[[#This Row],[Marks]]&gt;=65,"B",IF(StudentData[[#This Row],[Marks]]&gt;=50,"C","F")))</f>
        <v>B</v>
      </c>
    </row>
    <row r="187" spans="1:8" x14ac:dyDescent="0.3">
      <c r="A187" s="1">
        <v>1186</v>
      </c>
      <c r="B187" t="s">
        <v>134</v>
      </c>
      <c r="C187" t="s">
        <v>21</v>
      </c>
      <c r="D187">
        <v>8</v>
      </c>
      <c r="E187">
        <v>79</v>
      </c>
      <c r="F187">
        <v>86</v>
      </c>
      <c r="G187" t="s">
        <v>9</v>
      </c>
      <c r="H187" t="str">
        <f>IF(StudentData[[#This Row],[Marks]]&gt;=80,"A",IF(StudentData[[#This Row],[Marks]]&gt;=65,"B",IF(StudentData[[#This Row],[Marks]]&gt;=50,"C","F")))</f>
        <v>B</v>
      </c>
    </row>
    <row r="188" spans="1:8" x14ac:dyDescent="0.3">
      <c r="A188" s="1">
        <v>1187</v>
      </c>
      <c r="B188" t="s">
        <v>41</v>
      </c>
      <c r="C188" t="s">
        <v>17</v>
      </c>
      <c r="D188">
        <v>5</v>
      </c>
      <c r="E188">
        <v>56</v>
      </c>
      <c r="F188">
        <v>62</v>
      </c>
      <c r="G188" t="s">
        <v>9</v>
      </c>
      <c r="H188" t="str">
        <f>IF(StudentData[[#This Row],[Marks]]&gt;=80,"A",IF(StudentData[[#This Row],[Marks]]&gt;=65,"B",IF(StudentData[[#This Row],[Marks]]&gt;=50,"C","F")))</f>
        <v>C</v>
      </c>
    </row>
    <row r="189" spans="1:8" x14ac:dyDescent="0.3">
      <c r="A189" s="1">
        <v>1188</v>
      </c>
      <c r="B189" t="s">
        <v>46</v>
      </c>
      <c r="C189" t="s">
        <v>11</v>
      </c>
      <c r="D189">
        <v>6</v>
      </c>
      <c r="E189">
        <v>45</v>
      </c>
      <c r="F189">
        <v>60</v>
      </c>
      <c r="G189" t="s">
        <v>12</v>
      </c>
      <c r="H189" t="str">
        <f>IF(StudentData[[#This Row],[Marks]]&gt;=80,"A",IF(StudentData[[#This Row],[Marks]]&gt;=65,"B",IF(StudentData[[#This Row],[Marks]]&gt;=50,"C","F")))</f>
        <v>F</v>
      </c>
    </row>
    <row r="190" spans="1:8" x14ac:dyDescent="0.3">
      <c r="A190" s="1">
        <v>1189</v>
      </c>
      <c r="B190" t="s">
        <v>77</v>
      </c>
      <c r="C190" t="s">
        <v>17</v>
      </c>
      <c r="D190">
        <v>8</v>
      </c>
      <c r="E190">
        <v>63</v>
      </c>
      <c r="F190">
        <v>76</v>
      </c>
      <c r="G190" t="s">
        <v>12</v>
      </c>
      <c r="H190" t="str">
        <f>IF(StudentData[[#This Row],[Marks]]&gt;=80,"A",IF(StudentData[[#This Row],[Marks]]&gt;=65,"B",IF(StudentData[[#This Row],[Marks]]&gt;=50,"C","F")))</f>
        <v>C</v>
      </c>
    </row>
    <row r="191" spans="1:8" x14ac:dyDescent="0.3">
      <c r="A191" s="1">
        <v>1190</v>
      </c>
      <c r="B191" t="s">
        <v>30</v>
      </c>
      <c r="C191" t="s">
        <v>17</v>
      </c>
      <c r="D191">
        <v>6</v>
      </c>
      <c r="E191">
        <v>64</v>
      </c>
      <c r="F191">
        <v>75</v>
      </c>
      <c r="G191" t="s">
        <v>12</v>
      </c>
      <c r="H191" t="str">
        <f>IF(StudentData[[#This Row],[Marks]]&gt;=80,"A",IF(StudentData[[#This Row],[Marks]]&gt;=65,"B",IF(StudentData[[#This Row],[Marks]]&gt;=50,"C","F")))</f>
        <v>C</v>
      </c>
    </row>
    <row r="192" spans="1:8" x14ac:dyDescent="0.3">
      <c r="A192" s="1">
        <v>1191</v>
      </c>
      <c r="B192" t="s">
        <v>111</v>
      </c>
      <c r="C192" t="s">
        <v>14</v>
      </c>
      <c r="D192">
        <v>4</v>
      </c>
      <c r="E192">
        <v>78</v>
      </c>
      <c r="F192">
        <v>77</v>
      </c>
      <c r="G192" t="s">
        <v>9</v>
      </c>
      <c r="H192" t="str">
        <f>IF(StudentData[[#This Row],[Marks]]&gt;=80,"A",IF(StudentData[[#This Row],[Marks]]&gt;=65,"B",IF(StudentData[[#This Row],[Marks]]&gt;=50,"C","F")))</f>
        <v>B</v>
      </c>
    </row>
    <row r="193" spans="1:8" x14ac:dyDescent="0.3">
      <c r="A193" s="1">
        <v>1192</v>
      </c>
      <c r="B193" t="s">
        <v>131</v>
      </c>
      <c r="C193" t="s">
        <v>14</v>
      </c>
      <c r="D193">
        <v>7</v>
      </c>
      <c r="E193">
        <v>67</v>
      </c>
      <c r="F193">
        <v>65</v>
      </c>
      <c r="G193" t="s">
        <v>9</v>
      </c>
      <c r="H193" t="str">
        <f>IF(StudentData[[#This Row],[Marks]]&gt;=80,"A",IF(StudentData[[#This Row],[Marks]]&gt;=65,"B",IF(StudentData[[#This Row],[Marks]]&gt;=50,"C","F")))</f>
        <v>B</v>
      </c>
    </row>
    <row r="194" spans="1:8" x14ac:dyDescent="0.3">
      <c r="A194" s="1">
        <v>1193</v>
      </c>
      <c r="B194" t="s">
        <v>10</v>
      </c>
      <c r="C194" t="s">
        <v>14</v>
      </c>
      <c r="D194">
        <v>3</v>
      </c>
      <c r="E194">
        <v>65</v>
      </c>
      <c r="F194">
        <v>64</v>
      </c>
      <c r="G194" t="s">
        <v>12</v>
      </c>
      <c r="H194" t="str">
        <f>IF(StudentData[[#This Row],[Marks]]&gt;=80,"A",IF(StudentData[[#This Row],[Marks]]&gt;=65,"B",IF(StudentData[[#This Row],[Marks]]&gt;=50,"C","F")))</f>
        <v>B</v>
      </c>
    </row>
    <row r="195" spans="1:8" x14ac:dyDescent="0.3">
      <c r="A195" s="1">
        <v>1194</v>
      </c>
      <c r="B195" t="s">
        <v>38</v>
      </c>
      <c r="C195" t="s">
        <v>21</v>
      </c>
      <c r="D195">
        <v>2</v>
      </c>
      <c r="E195">
        <v>80</v>
      </c>
      <c r="F195">
        <v>84</v>
      </c>
      <c r="G195" t="s">
        <v>9</v>
      </c>
      <c r="H195" t="str">
        <f>IF(StudentData[[#This Row],[Marks]]&gt;=80,"A",IF(StudentData[[#This Row],[Marks]]&gt;=65,"B",IF(StudentData[[#This Row],[Marks]]&gt;=50,"C","F")))</f>
        <v>A</v>
      </c>
    </row>
    <row r="196" spans="1:8" x14ac:dyDescent="0.3">
      <c r="A196" s="1">
        <v>1195</v>
      </c>
      <c r="B196" t="s">
        <v>48</v>
      </c>
      <c r="C196" t="s">
        <v>14</v>
      </c>
      <c r="D196">
        <v>8</v>
      </c>
      <c r="E196">
        <v>77</v>
      </c>
      <c r="F196">
        <v>69</v>
      </c>
      <c r="G196" t="s">
        <v>12</v>
      </c>
      <c r="H196" t="str">
        <f>IF(StudentData[[#This Row],[Marks]]&gt;=80,"A",IF(StudentData[[#This Row],[Marks]]&gt;=65,"B",IF(StudentData[[#This Row],[Marks]]&gt;=50,"C","F")))</f>
        <v>B</v>
      </c>
    </row>
    <row r="197" spans="1:8" x14ac:dyDescent="0.3">
      <c r="A197" s="1">
        <v>1196</v>
      </c>
      <c r="B197" t="s">
        <v>105</v>
      </c>
      <c r="C197" t="s">
        <v>11</v>
      </c>
      <c r="D197">
        <v>1</v>
      </c>
      <c r="E197">
        <v>59</v>
      </c>
      <c r="F197">
        <v>70</v>
      </c>
      <c r="G197" t="s">
        <v>9</v>
      </c>
      <c r="H197" t="str">
        <f>IF(StudentData[[#This Row],[Marks]]&gt;=80,"A",IF(StudentData[[#This Row],[Marks]]&gt;=65,"B",IF(StudentData[[#This Row],[Marks]]&gt;=50,"C","F")))</f>
        <v>C</v>
      </c>
    </row>
    <row r="198" spans="1:8" x14ac:dyDescent="0.3">
      <c r="A198" s="1">
        <v>1197</v>
      </c>
      <c r="B198" t="s">
        <v>81</v>
      </c>
      <c r="C198" t="s">
        <v>11</v>
      </c>
      <c r="D198">
        <v>1</v>
      </c>
      <c r="E198">
        <v>74</v>
      </c>
      <c r="F198">
        <v>67</v>
      </c>
      <c r="G198" t="s">
        <v>12</v>
      </c>
      <c r="H198" t="str">
        <f>IF(StudentData[[#This Row],[Marks]]&gt;=80,"A",IF(StudentData[[#This Row],[Marks]]&gt;=65,"B",IF(StudentData[[#This Row],[Marks]]&gt;=50,"C","F")))</f>
        <v>B</v>
      </c>
    </row>
    <row r="199" spans="1:8" x14ac:dyDescent="0.3">
      <c r="A199" s="1">
        <v>1198</v>
      </c>
      <c r="B199" t="s">
        <v>140</v>
      </c>
      <c r="C199" t="s">
        <v>11</v>
      </c>
      <c r="D199">
        <v>1</v>
      </c>
      <c r="E199">
        <v>88</v>
      </c>
      <c r="F199">
        <v>86</v>
      </c>
      <c r="G199" t="s">
        <v>12</v>
      </c>
      <c r="H199" t="str">
        <f>IF(StudentData[[#This Row],[Marks]]&gt;=80,"A",IF(StudentData[[#This Row],[Marks]]&gt;=65,"B",IF(StudentData[[#This Row],[Marks]]&gt;=50,"C","F")))</f>
        <v>A</v>
      </c>
    </row>
    <row r="200" spans="1:8" x14ac:dyDescent="0.3">
      <c r="A200" s="1">
        <v>1199</v>
      </c>
      <c r="B200" t="s">
        <v>141</v>
      </c>
      <c r="C200" t="s">
        <v>8</v>
      </c>
      <c r="D200">
        <v>8</v>
      </c>
      <c r="E200">
        <v>58</v>
      </c>
      <c r="F200">
        <v>63</v>
      </c>
      <c r="G200" t="s">
        <v>9</v>
      </c>
      <c r="H200" t="str">
        <f>IF(StudentData[[#This Row],[Marks]]&gt;=80,"A",IF(StudentData[[#This Row],[Marks]]&gt;=65,"B",IF(StudentData[[#This Row],[Marks]]&gt;=50,"C","F")))</f>
        <v>C</v>
      </c>
    </row>
    <row r="201" spans="1:8" x14ac:dyDescent="0.3">
      <c r="A201" s="1">
        <v>1200</v>
      </c>
      <c r="B201" t="s">
        <v>142</v>
      </c>
      <c r="C201" t="s">
        <v>21</v>
      </c>
      <c r="D201">
        <v>3</v>
      </c>
      <c r="E201">
        <v>86</v>
      </c>
      <c r="F201">
        <v>93</v>
      </c>
      <c r="G201" t="s">
        <v>9</v>
      </c>
      <c r="H201" t="str">
        <f>IF(StudentData[[#This Row],[Marks]]&gt;=80,"A",IF(StudentData[[#This Row],[Marks]]&gt;=65,"B",IF(StudentData[[#This Row],[Marks]]&gt;=50,"C","F")))</f>
        <v>A</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Views>
    <sheetView showGridLines="0" tabSelected="1" zoomScale="70" zoomScaleNormal="70" workbookViewId="0">
      <selection activeCell="W13" sqref="W13"/>
    </sheetView>
  </sheetViews>
  <sheetFormatPr defaultRowHeight="14.4" x14ac:dyDescent="0.3"/>
  <cols>
    <col min="1" max="2" width="20.77734375" style="3" customWidth="1"/>
    <col min="3" max="5" width="8.88671875" style="3"/>
    <col min="6" max="6" width="16.5546875" style="3" customWidth="1"/>
    <col min="7" max="7" width="13.109375" style="3" customWidth="1"/>
    <col min="8" max="11" width="8.88671875" style="3"/>
    <col min="12" max="12" width="11.109375" style="3" customWidth="1"/>
    <col min="13" max="13" width="11.44140625" style="3" customWidth="1"/>
    <col min="14" max="16384" width="8.88671875" style="3"/>
  </cols>
  <sheetData>
    <row r="1" spans="1:13" ht="25.8" x14ac:dyDescent="0.5">
      <c r="D1" s="11" t="s">
        <v>150</v>
      </c>
      <c r="E1" s="11"/>
      <c r="F1" s="11"/>
      <c r="G1" s="11"/>
      <c r="H1" s="11"/>
      <c r="I1" s="11"/>
    </row>
    <row r="4" spans="1:13" ht="17.399999999999999" x14ac:dyDescent="0.35">
      <c r="A4" s="4" t="s">
        <v>144</v>
      </c>
      <c r="B4" s="5">
        <f>COUNTA(StudentData[Student ID])</f>
        <v>200</v>
      </c>
      <c r="F4" s="8" t="s">
        <v>2</v>
      </c>
      <c r="G4" s="8" t="s">
        <v>145</v>
      </c>
      <c r="I4" s="8" t="s">
        <v>6</v>
      </c>
      <c r="J4" s="8" t="s">
        <v>149</v>
      </c>
      <c r="L4" s="8" t="s">
        <v>3</v>
      </c>
      <c r="M4" s="8" t="s">
        <v>147</v>
      </c>
    </row>
    <row r="5" spans="1:13" ht="17.399999999999999" x14ac:dyDescent="0.35">
      <c r="A5" s="4" t="s">
        <v>147</v>
      </c>
      <c r="B5" s="6">
        <f>AVERAGE(StudentData[Marks])</f>
        <v>77.534999999999997</v>
      </c>
      <c r="F5" s="9" t="s">
        <v>8</v>
      </c>
      <c r="G5" s="10">
        <f>AVERAGEIF(StudentData[Department],"CS",StudentData[Marks])</f>
        <v>81.239130434782609</v>
      </c>
      <c r="I5" s="9" t="s">
        <v>12</v>
      </c>
      <c r="J5" s="9">
        <f>COUNTIF(StudentData[Gender],"Male")</f>
        <v>107</v>
      </c>
      <c r="L5" s="9">
        <v>1</v>
      </c>
      <c r="M5" s="10">
        <f>AVERAGEIF(StudentData[Semester],1,StudentData[Marks])</f>
        <v>78.05263157894737</v>
      </c>
    </row>
    <row r="6" spans="1:13" ht="17.399999999999999" x14ac:dyDescent="0.35">
      <c r="A6" s="4" t="s">
        <v>146</v>
      </c>
      <c r="B6" s="6">
        <f>AVERAGE(StudentData[Attendance %])</f>
        <v>80.174999999999997</v>
      </c>
      <c r="F6" s="9" t="s">
        <v>11</v>
      </c>
      <c r="G6" s="10">
        <f>AVERAGEIF(StudentData[Department],"DS",StudentData[Marks])</f>
        <v>76.13636363636364</v>
      </c>
      <c r="I6" s="9" t="s">
        <v>9</v>
      </c>
      <c r="J6" s="9">
        <f>COUNTIF(StudentData[Gender],"Female")</f>
        <v>93</v>
      </c>
      <c r="L6" s="9">
        <v>2</v>
      </c>
      <c r="M6" s="10">
        <f>AVERAGEIF(StudentData[Semester],2,StudentData[Marks])</f>
        <v>77.263157894736835</v>
      </c>
    </row>
    <row r="7" spans="1:13" ht="17.399999999999999" x14ac:dyDescent="0.35">
      <c r="A7" s="4" t="s">
        <v>148</v>
      </c>
      <c r="B7" s="7">
        <f>COUNTIF(StudentData[Marks],"&gt;=50")/COUNTA(StudentData[Student ID])</f>
        <v>0.98</v>
      </c>
      <c r="F7" s="9" t="s">
        <v>14</v>
      </c>
      <c r="G7" s="9">
        <f>AVERAGEIF(StudentData[Department],"IT",StudentData[Marks])</f>
        <v>74.08</v>
      </c>
      <c r="L7" s="9">
        <v>3</v>
      </c>
      <c r="M7" s="10">
        <f>AVERAGEIF(StudentData[Semester],3,StudentData[Marks])</f>
        <v>80.53125</v>
      </c>
    </row>
    <row r="8" spans="1:13" ht="17.399999999999999" x14ac:dyDescent="0.35">
      <c r="F8" s="9" t="s">
        <v>17</v>
      </c>
      <c r="G8" s="10">
        <f>AVERAGEIF(StudentData[Department],"SE",StudentData[Marks])</f>
        <v>78.481481481481481</v>
      </c>
      <c r="L8" s="9">
        <v>4</v>
      </c>
      <c r="M8" s="10">
        <f>AVERAGEIF(StudentData[Semester],4,StudentData[Marks])</f>
        <v>76.875</v>
      </c>
    </row>
    <row r="9" spans="1:13" ht="17.399999999999999" x14ac:dyDescent="0.35">
      <c r="F9" s="9" t="s">
        <v>21</v>
      </c>
      <c r="G9" s="10">
        <f>AVERAGEIF(StudentData[Department],"AI",StudentData[Marks])</f>
        <v>78.696969696969703</v>
      </c>
      <c r="L9" s="9">
        <v>5</v>
      </c>
      <c r="M9" s="10">
        <f>AVERAGEIF(StudentData[Semester],5,StudentData[Marks])</f>
        <v>77.592592592592595</v>
      </c>
    </row>
    <row r="10" spans="1:13" ht="17.399999999999999" x14ac:dyDescent="0.35">
      <c r="L10" s="9">
        <v>6</v>
      </c>
      <c r="M10" s="10">
        <f>AVERAGEIF(StudentData[Semester],6,StudentData[Marks])</f>
        <v>76.714285714285708</v>
      </c>
    </row>
    <row r="11" spans="1:13" ht="17.399999999999999" x14ac:dyDescent="0.35">
      <c r="L11" s="9">
        <v>7</v>
      </c>
      <c r="M11" s="10">
        <f>AVERAGEIF(StudentData[Semester],7,StudentData[Marks])</f>
        <v>74.727272727272734</v>
      </c>
    </row>
    <row r="12" spans="1:13" ht="17.399999999999999" x14ac:dyDescent="0.35">
      <c r="L12" s="9">
        <v>8</v>
      </c>
      <c r="M12" s="10">
        <f>AVERAGEIF(StudentData[Semester],8,StudentData[Marks])</f>
        <v>77.482758620689651</v>
      </c>
    </row>
  </sheetData>
  <mergeCells count="1">
    <mergeCell ref="D1:I1"/>
  </mergeCells>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Student_data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2026-06-17T07:14:17Z</dcterms:created>
  <dcterms:modified xsi:type="dcterms:W3CDTF">2026-06-18T10:14:05Z</dcterms:modified>
</cp:coreProperties>
</file>